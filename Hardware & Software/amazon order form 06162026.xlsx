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<sst xmlns="http://schemas.openxmlformats.org/spreadsheetml/2006/main" uniqueCount="59">
  <si>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</si>
  <si>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</si>
  <si>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</si>
  <si>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</si>
  <si>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</si>
  <si>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</si>
  <si>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</si>
  <si>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</si>
  <si>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</si>
  <si>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</si>
  <si>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</si>
  <si>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</si>
  <si>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r>
      <rPr>
        <sz val="10"/>
        <color indexed="8"/>
        <rFont val="Times New Roman"/>
      </rPr>
      <t xml:space="preserve">Henry Jones, </t>
    </r>
    <r>
      <rPr>
        <u val="single"/>
        <sz val="10"/>
        <color indexed="13"/>
        <rFont val="Times New Roman"/>
      </rPr>
      <t>henjones1111@gmail.com</t>
    </r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</si>
  <si>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</si>
  <si>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</si>
  <si>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</si>
  <si>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</si>
  <si>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</si>
  <si>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</si>
  <si>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</si>
  <si>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</si>
  <si>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</si>
  <si>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</si>
  <si>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</si>
  <si>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Brett Lopez</t>
  </si>
  <si>
    <t>Email:</t>
  </si>
  <si>
    <r>
      <rPr>
        <u val="single"/>
        <sz val="10"/>
        <color indexed="13"/>
        <rFont val="Times New Roman"/>
      </rPr>
      <t>henjones1111@gmail.com</t>
    </r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</si>
  <si>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</si>
  <si>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</si>
  <si>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</si>
  <si>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</si>
  <si>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</si>
  <si>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rPr>
        <sz val="10"/>
        <color indexed="8"/>
        <rFont val="Times New Roman"/>
      </rPr>
      <t xml:space="preserve">Vendor Name: </t>
    </r>
  </si>
  <si>
    <t>Amazon</t>
  </si>
  <si>
    <t xml:space="preserve">Quote/ Order/ Invoice # </t>
  </si>
  <si>
    <t>Address:</t>
  </si>
  <si>
    <t>Web Address:</t>
  </si>
  <si>
    <r>
      <rPr>
        <u val="single"/>
        <sz val="10"/>
        <color indexed="13"/>
        <rFont val="Times New Roman"/>
      </rPr>
      <t>amazon.com</t>
    </r>
  </si>
  <si>
    <t>Vendor Phone #:</t>
  </si>
  <si>
    <t>Contact Person:</t>
  </si>
  <si>
    <t>Vendor Email:</t>
  </si>
  <si>
    <t>Provide a detailed business justification for purchase:</t>
  </si>
  <si>
    <t>Graduate Research Project</t>
  </si>
  <si>
    <t xml:space="preserve">Provide a public cart link or public wish list: </t>
  </si>
  <si>
    <r>
      <rPr>
        <u val="single"/>
        <sz val="10"/>
        <color indexed="13"/>
        <rFont val="Times New Roman"/>
      </rPr>
      <t>https://www.amazon.com/cncarbonfiber-16x14x600MM-Available-Wrapped-16x14x600mm/dp/B09TYYB4ZQ/ref=sr_1_11?crid=X6DMCD68R4YR&amp;dib=eyJ2IjoiMSJ9.WYzS64-ry585SJBp_b-_9_5hgjeTv4JY1GOWJzNutC17kR904XQJr-9ubgev94H4kl99rONAoWpzgLO6MNwkf_zf7uqMjoWmLobQCVkKivg80oFUsXlkXOE_M6gg_zrsz-31H2AbsK3TK-pdAA33eYmrRJGJyd2qre4n9c_Il0mHJAOXEIER3e9pW9MaWSQI_CEK1Hd425DuvcWikxKFK_erqRCpMwRnwbPSS1nJyV4.U2W0dnkqYc0WzsZSshrC6IdjZ1laLZjn7G9DzV4oOhc&amp;dib_tag=se&amp;keywords=15mm+carbon+tube&amp;qid=1781643028&amp;sprefix=15mm+carbon+tube+,aps,207&amp;sr=8-11&amp;th=1</t>
    </r>
  </si>
  <si>
    <t>QTY</t>
  </si>
  <si>
    <t>UNIT</t>
  </si>
  <si>
    <t>UNIT PRICE</t>
  </si>
  <si>
    <t>CATALOG #</t>
  </si>
  <si>
    <t>DESCRIPTION</t>
  </si>
  <si>
    <t>TOTAL</t>
  </si>
  <si>
    <t>B09TYYB4ZQ</t>
  </si>
  <si>
    <t>16mmx14mmx600mm carbon fiber tube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</si>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</sst>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"/>
    <numFmt numFmtId="60" formatCode="&quot;$&quot;#,##0.00&quot; &quot;;(&quot;$&quot;#,##0.00)"/>
  </numFmts>
  <fonts count="12">
    <font>
      <sz val="10"/>
      <color indexed="8"/>
      <name val="Times New Roman"/>
    </font>
    <font>
      <sz val="8"/>
      <color indexed="8"/>
      <name val="Times New Roman"/>
    </font>
    <font>
      <sz val="15"/>
      <color indexed="8"/>
      <name val="Calibri"/>
    </font>
    <font>
      <b val="1"/>
      <sz val="18"/>
      <color indexed="8"/>
      <name val="Times New Roman"/>
    </font>
    <font>
      <b val="1"/>
      <sz val="14"/>
      <color indexed="8"/>
      <name val="Times New Roman"/>
    </font>
    <font>
      <b val="1"/>
      <sz val="10"/>
      <color indexed="8"/>
      <name val="Times New Roman"/>
    </font>
    <font>
      <i val="1"/>
      <sz val="10"/>
      <color indexed="8"/>
      <name val="Times New Roman"/>
    </font>
    <font>
      <u val="single"/>
      <sz val="10"/>
      <color indexed="13"/>
      <name val="Times New Roman"/>
    </font>
    <font>
      <sz val="11"/>
      <color indexed="14"/>
      <name val="Calibri"/>
    </font>
    <font>
      <b val="1"/>
      <i val="1"/>
      <sz val="10"/>
      <color indexed="8"/>
      <name val="Times New Roman"/>
    </font>
    <font>
      <sz val="10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5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/>
      <top style="dashed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 style="medium">
        <color indexed="8"/>
      </right>
      <top style="dashed">
        <color indexed="8"/>
      </top>
      <bottom/>
      <diagonal/>
    </border>
    <border>
      <left style="medium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horizontal="left" vertical="top"/>
    </xf>
  </cellStyleXfs>
  <cellXfs count="113">
    <xf numFmtId="0" fontId="0" applyNumberFormat="0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top"/>
    </xf>
    <xf numFmtId="49" fontId="4" fillId="2" borderId="1" applyNumberFormat="1" applyFont="1" applyFill="1" applyBorder="1" applyAlignment="1" applyProtection="0">
      <alignment horizontal="center" vertical="bottom"/>
    </xf>
    <xf numFmtId="0" fontId="5" fillId="2" borderId="1" applyNumberFormat="0" applyFont="1" applyFill="1" applyBorder="1" applyAlignment="1" applyProtection="0">
      <alignment horizontal="left" vertical="top"/>
    </xf>
    <xf numFmtId="49" fontId="6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horizontal="left" vertical="top"/>
    </xf>
    <xf numFmtId="0" fontId="0" fillId="2" borderId="6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1" fillId="2" borderId="7" applyNumberFormat="1" applyFont="1" applyFill="1" applyBorder="1" applyAlignment="1" applyProtection="0">
      <alignment vertical="top"/>
    </xf>
    <xf numFmtId="0" fontId="1" fillId="2" borderId="7" applyNumberFormat="0" applyFont="1" applyFill="1" applyBorder="1" applyAlignment="1" applyProtection="0">
      <alignment vertical="top"/>
    </xf>
    <xf numFmtId="0" fontId="4" fillId="2" borderId="1" applyNumberFormat="0" applyFont="1" applyFill="1" applyBorder="1" applyAlignment="1" applyProtection="0">
      <alignment horizontal="center" vertical="bottom"/>
    </xf>
    <xf numFmtId="0" fontId="4" fillId="2" borderId="2" applyNumberFormat="0" applyFont="1" applyFill="1" applyBorder="1" applyAlignment="1" applyProtection="0">
      <alignment horizontal="center" vertical="bottom"/>
    </xf>
    <xf numFmtId="49" fontId="0" fillId="2" borderId="8" applyNumberFormat="1" applyFont="1" applyFill="1" applyBorder="1" applyAlignment="1" applyProtection="0">
      <alignment horizontal="left" vertical="bottom"/>
    </xf>
    <xf numFmtId="0" fontId="0" fillId="2" borderId="9" applyNumberFormat="0" applyFont="1" applyFill="1" applyBorder="1" applyAlignment="1" applyProtection="0">
      <alignment horizontal="left" vertical="bottom"/>
    </xf>
    <xf numFmtId="49" fontId="0" fillId="4" borderId="4" applyNumberFormat="1" applyFont="1" applyFill="1" applyBorder="1" applyAlignment="1" applyProtection="0">
      <alignment horizontal="left" vertical="bottom" wrapText="1"/>
    </xf>
    <xf numFmtId="0" fontId="0" fillId="4" borderId="4" applyNumberFormat="0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horizontal="left" vertical="bottom"/>
    </xf>
    <xf numFmtId="49" fontId="0" fillId="2" borderId="9" applyNumberFormat="1" applyFont="1" applyFill="1" applyBorder="1" applyAlignment="1" applyProtection="0">
      <alignment horizontal="left" vertical="bottom"/>
    </xf>
    <xf numFmtId="14" fontId="0" fillId="4" borderId="4" applyNumberFormat="1" applyFont="1" applyFill="1" applyBorder="1" applyAlignment="1" applyProtection="0">
      <alignment horizontal="left" vertical="bottom" wrapText="1"/>
    </xf>
    <xf numFmtId="49" fontId="0" fillId="2" borderId="10" applyNumberFormat="1" applyFont="1" applyFill="1" applyBorder="1" applyAlignment="1" applyProtection="0">
      <alignment horizontal="left" vertical="bottom" wrapText="1"/>
    </xf>
    <xf numFmtId="0" fontId="0" fillId="2" borderId="11" applyNumberFormat="0" applyFont="1" applyFill="1" applyBorder="1" applyAlignment="1" applyProtection="0">
      <alignment horizontal="left" vertical="bottom" wrapText="1"/>
    </xf>
    <xf numFmtId="49" fontId="0" fillId="4" borderId="12" applyNumberFormat="1" applyFont="1" applyFill="1" applyBorder="1" applyAlignment="1" applyProtection="0">
      <alignment horizontal="left" vertical="bottom" wrapText="1"/>
    </xf>
    <xf numFmtId="0" fontId="0" fillId="4" borderId="12" applyNumberFormat="0" applyFont="1" applyFill="1" applyBorder="1" applyAlignment="1" applyProtection="0">
      <alignment horizontal="left" vertical="bottom" wrapText="1"/>
    </xf>
    <xf numFmtId="49" fontId="0" fillId="2" borderId="11" applyNumberFormat="1" applyFont="1" applyFill="1" applyBorder="1" applyAlignment="1" applyProtection="0">
      <alignment horizontal="left" vertical="bottom"/>
    </xf>
    <xf numFmtId="49" fontId="5" fillId="2" borderId="10" applyNumberFormat="1" applyFont="1" applyFill="1" applyBorder="1" applyAlignment="1" applyProtection="0">
      <alignment horizontal="left" vertical="bottom"/>
    </xf>
    <xf numFmtId="0" fontId="5" fillId="2" borderId="10" applyNumberFormat="0" applyFont="1" applyFill="1" applyBorder="1" applyAlignment="1" applyProtection="0">
      <alignment horizontal="left" vertical="bottom"/>
    </xf>
    <xf numFmtId="0" fontId="0" fillId="2" borderId="7" applyNumberFormat="0" applyFont="1" applyFill="1" applyBorder="1" applyAlignment="1" applyProtection="0">
      <alignment horizontal="left" vertical="bottom"/>
    </xf>
    <xf numFmtId="49" fontId="5" fillId="2" borderId="1" applyNumberFormat="1" applyFont="1" applyFill="1" applyBorder="1" applyAlignment="1" applyProtection="0">
      <alignment horizontal="left" vertical="bottom"/>
    </xf>
    <xf numFmtId="0" fontId="0" fillId="2" borderId="13" applyNumberFormat="0" applyFont="1" applyFill="1" applyBorder="1" applyAlignment="1" applyProtection="0">
      <alignment horizontal="left" vertical="bottom"/>
    </xf>
    <xf numFmtId="0" fontId="0" fillId="2" borderId="14" applyNumberFormat="0" applyFont="1" applyFill="1" applyBorder="1" applyAlignment="1" applyProtection="0">
      <alignment horizontal="left" vertical="top"/>
    </xf>
    <xf numFmtId="49" fontId="6" fillId="2" borderId="15" applyNumberFormat="1" applyFont="1" applyFill="1" applyBorder="1" applyAlignment="1" applyProtection="0">
      <alignment horizontal="left" vertical="bottom" wrapText="1"/>
    </xf>
    <xf numFmtId="0" fontId="6" fillId="2" borderId="16" applyNumberFormat="0" applyFont="1" applyFill="1" applyBorder="1" applyAlignment="1" applyProtection="0">
      <alignment horizontal="left" vertical="bottom" wrapText="1"/>
    </xf>
    <xf numFmtId="0" fontId="6" fillId="2" borderId="17" applyNumberFormat="0" applyFont="1" applyFill="1" applyBorder="1" applyAlignment="1" applyProtection="0">
      <alignment horizontal="left" vertical="bottom" wrapText="1"/>
    </xf>
    <xf numFmtId="0" fontId="6" fillId="2" borderId="18" applyNumberFormat="0" applyFont="1" applyFill="1" applyBorder="1" applyAlignment="1" applyProtection="0">
      <alignment horizontal="left" vertical="bottom" wrapText="1"/>
    </xf>
    <xf numFmtId="0" fontId="0" fillId="2" borderId="19" applyNumberFormat="0" applyFont="1" applyFill="1" applyBorder="1" applyAlignment="1" applyProtection="0">
      <alignment horizontal="left" vertical="top"/>
    </xf>
    <xf numFmtId="0" fontId="8" fillId="2" borderId="1" applyNumberFormat="0" applyFont="1" applyFill="1" applyBorder="1" applyAlignment="1" applyProtection="0">
      <alignment horizontal="left" vertical="top"/>
    </xf>
    <xf numFmtId="49" fontId="0" fillId="2" borderId="20" applyNumberFormat="1" applyFont="1" applyFill="1" applyBorder="1" applyAlignment="1" applyProtection="0">
      <alignment horizontal="left" vertical="bottom"/>
    </xf>
    <xf numFmtId="0" fontId="0" fillId="2" borderId="21" applyNumberFormat="0" applyFont="1" applyFill="1" applyBorder="1" applyAlignment="1" applyProtection="0">
      <alignment horizontal="center" vertical="bottom"/>
    </xf>
    <xf numFmtId="49" fontId="5" fillId="4" borderId="4" applyNumberFormat="1" applyFont="1" applyFill="1" applyBorder="1" applyAlignment="1" applyProtection="0">
      <alignment horizontal="left" vertical="bottom"/>
    </xf>
    <xf numFmtId="0" fontId="5" fillId="4" borderId="4" applyNumberFormat="0" applyFont="1" applyFill="1" applyBorder="1" applyAlignment="1" applyProtection="0">
      <alignment horizontal="left" vertical="bottom"/>
    </xf>
    <xf numFmtId="0" fontId="5" fillId="4" borderId="22" applyNumberFormat="0" applyFont="1" applyFill="1" applyBorder="1" applyAlignment="1" applyProtection="0">
      <alignment horizontal="left" vertical="bottom"/>
    </xf>
    <xf numFmtId="49" fontId="0" fillId="2" borderId="23" applyNumberFormat="1" applyFont="1" applyFill="1" applyBorder="1" applyAlignment="1" applyProtection="0">
      <alignment horizontal="left" vertical="bottom" wrapText="1"/>
    </xf>
    <xf numFmtId="0" fontId="0" fillId="2" borderId="24" applyNumberFormat="0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horizontal="center" vertical="bottom"/>
    </xf>
    <xf numFmtId="49" fontId="0" fillId="2" borderId="11" applyNumberFormat="1" applyFont="1" applyFill="1" applyBorder="1" applyAlignment="1" applyProtection="0">
      <alignment horizontal="left" vertical="bottom" wrapText="1"/>
    </xf>
    <xf numFmtId="0" fontId="0" fillId="4" borderId="25" applyNumberFormat="0" applyFont="1" applyFill="1" applyBorder="1" applyAlignment="1" applyProtection="0">
      <alignment horizontal="left" vertical="bottom" wrapText="1"/>
    </xf>
    <xf numFmtId="0" fontId="0" fillId="2" borderId="19" applyNumberFormat="0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horizontal="left" vertical="bottom"/>
    </xf>
    <xf numFmtId="0" fontId="0" fillId="2" borderId="26" applyNumberFormat="0" applyFont="1" applyFill="1" applyBorder="1" applyAlignment="1" applyProtection="0">
      <alignment horizontal="left" vertical="top"/>
    </xf>
    <xf numFmtId="0" fontId="0" fillId="2" borderId="27" applyNumberFormat="0" applyFont="1" applyFill="1" applyBorder="1" applyAlignment="1" applyProtection="0">
      <alignment horizontal="left" vertical="top"/>
    </xf>
    <xf numFmtId="0" fontId="0" fillId="2" borderId="28" applyNumberFormat="0" applyFont="1" applyFill="1" applyBorder="1" applyAlignment="1" applyProtection="0">
      <alignment horizontal="left" vertical="top"/>
    </xf>
    <xf numFmtId="0" fontId="0" fillId="2" borderId="29" applyNumberFormat="0" applyFont="1" applyFill="1" applyBorder="1" applyAlignment="1" applyProtection="0">
      <alignment horizontal="left" vertical="top"/>
    </xf>
    <xf numFmtId="49" fontId="9" fillId="2" borderId="30" applyNumberFormat="1" applyFont="1" applyFill="1" applyBorder="1" applyAlignment="1" applyProtection="0">
      <alignment horizontal="left" vertical="bottom"/>
    </xf>
    <xf numFmtId="0" fontId="0" fillId="2" borderId="31" applyNumberFormat="0" applyFont="1" applyFill="1" applyBorder="1" applyAlignment="1" applyProtection="0">
      <alignment horizontal="left" vertical="top"/>
    </xf>
    <xf numFmtId="0" fontId="0" fillId="2" borderId="32" applyNumberFormat="0" applyFont="1" applyFill="1" applyBorder="1" applyAlignment="1" applyProtection="0">
      <alignment horizontal="left" vertical="top"/>
    </xf>
    <xf numFmtId="49" fontId="0" fillId="2" borderId="33" applyNumberFormat="1" applyFont="1" applyFill="1" applyBorder="1" applyAlignment="1" applyProtection="0">
      <alignment horizontal="left" vertical="top" wrapText="1"/>
    </xf>
    <xf numFmtId="0" fontId="0" fillId="2" borderId="34" applyNumberFormat="0" applyFont="1" applyFill="1" applyBorder="1" applyAlignment="1" applyProtection="0">
      <alignment horizontal="left" vertical="top" wrapText="1"/>
    </xf>
    <xf numFmtId="0" fontId="0" fillId="2" borderId="35" applyNumberFormat="0" applyFont="1" applyFill="1" applyBorder="1" applyAlignment="1" applyProtection="0">
      <alignment horizontal="left" vertical="top" wrapText="1"/>
    </xf>
    <xf numFmtId="0" fontId="0" borderId="36" applyNumberFormat="0" applyFont="1" applyFill="0" applyBorder="1" applyAlignment="1" applyProtection="0">
      <alignment horizontal="left" vertical="top" wrapText="1"/>
    </xf>
    <xf numFmtId="0" fontId="0" borderId="37" applyNumberFormat="0" applyFont="1" applyFill="0" applyBorder="1" applyAlignment="1" applyProtection="0">
      <alignment horizontal="left" vertical="top" wrapText="1"/>
    </xf>
    <xf numFmtId="0" fontId="0" borderId="38" applyNumberFormat="0" applyFont="1" applyFill="0" applyBorder="1" applyAlignment="1" applyProtection="0">
      <alignment horizontal="left" vertical="top" wrapText="1"/>
    </xf>
    <xf numFmtId="49" fontId="9" fillId="2" borderId="39" applyNumberFormat="1" applyFont="1" applyFill="1" applyBorder="1" applyAlignment="1" applyProtection="0">
      <alignment horizontal="left" vertical="top" wrapText="1"/>
    </xf>
    <xf numFmtId="0" fontId="9" fillId="2" borderId="40" applyNumberFormat="0" applyFont="1" applyFill="1" applyBorder="1" applyAlignment="1" applyProtection="0">
      <alignment horizontal="left" vertical="top" wrapText="1"/>
    </xf>
    <xf numFmtId="0" fontId="9" fillId="2" borderId="41" applyNumberFormat="0" applyFont="1" applyFill="1" applyBorder="1" applyAlignment="1" applyProtection="0">
      <alignment horizontal="left" vertical="top" wrapText="1"/>
    </xf>
    <xf numFmtId="49" fontId="0" fillId="2" borderId="42" applyNumberFormat="1" applyFont="1" applyFill="1" applyBorder="1" applyAlignment="1" applyProtection="0">
      <alignment horizontal="left" vertical="bottom"/>
    </xf>
    <xf numFmtId="0" fontId="0" fillId="2" borderId="43" applyNumberFormat="0" applyFont="1" applyFill="1" applyBorder="1" applyAlignment="1" applyProtection="0">
      <alignment horizontal="left" vertical="bottom"/>
    </xf>
    <xf numFmtId="0" fontId="0" fillId="2" borderId="44" applyNumberFormat="0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horizontal="left" vertical="top"/>
    </xf>
    <xf numFmtId="0" fontId="0" fillId="2" borderId="45" applyNumberFormat="0" applyFont="1" applyFill="1" applyBorder="1" applyAlignment="1" applyProtection="0">
      <alignment horizontal="left" vertical="top"/>
    </xf>
    <xf numFmtId="49" fontId="10" fillId="2" borderId="46" applyNumberFormat="1" applyFont="1" applyFill="1" applyBorder="1" applyAlignment="1" applyProtection="0">
      <alignment horizontal="center" vertical="center" wrapText="1"/>
    </xf>
    <xf numFmtId="49" fontId="10" fillId="2" borderId="47" applyNumberFormat="1" applyFont="1" applyFill="1" applyBorder="1" applyAlignment="1" applyProtection="0">
      <alignment horizontal="center" vertical="center" wrapText="1"/>
    </xf>
    <xf numFmtId="49" fontId="10" fillId="2" borderId="48" applyNumberFormat="1" applyFont="1" applyFill="1" applyBorder="1" applyAlignment="1" applyProtection="0">
      <alignment horizontal="center" vertical="center" wrapText="1"/>
    </xf>
    <xf numFmtId="0" fontId="10" fillId="2" borderId="46" applyNumberFormat="0" applyFont="1" applyFill="1" applyBorder="1" applyAlignment="1" applyProtection="0">
      <alignment horizontal="center" vertical="center" wrapText="1"/>
    </xf>
    <xf numFmtId="0" fontId="0" fillId="2" borderId="49" applyNumberFormat="0" applyFont="1" applyFill="1" applyBorder="1" applyAlignment="1" applyProtection="0">
      <alignment horizontal="left" vertical="top"/>
    </xf>
    <xf numFmtId="0" fontId="0" fillId="2" borderId="50" applyNumberFormat="1" applyFont="1" applyFill="1" applyBorder="1" applyAlignment="1" applyProtection="0">
      <alignment horizontal="left" vertical="top"/>
    </xf>
    <xf numFmtId="0" fontId="0" fillId="2" borderId="47" applyNumberFormat="1" applyFont="1" applyFill="1" applyBorder="1" applyAlignment="1" applyProtection="0">
      <alignment vertical="top" wrapText="1"/>
    </xf>
    <xf numFmtId="59" fontId="0" fillId="2" borderId="47" applyNumberFormat="1" applyFont="1" applyFill="1" applyBorder="1" applyAlignment="1" applyProtection="0">
      <alignment vertical="top" wrapText="1"/>
    </xf>
    <xf numFmtId="49" fontId="0" fillId="2" borderId="48" applyNumberFormat="1" applyFont="1" applyFill="1" applyBorder="1" applyAlignment="1" applyProtection="0">
      <alignment vertical="top" wrapText="1"/>
    </xf>
    <xf numFmtId="0" fontId="0" fillId="2" borderId="46" applyNumberFormat="0" applyFont="1" applyFill="1" applyBorder="1" applyAlignment="1" applyProtection="0">
      <alignment vertical="top" wrapText="1"/>
    </xf>
    <xf numFmtId="60" fontId="11" fillId="2" borderId="47" applyNumberFormat="1" applyFont="1" applyFill="1" applyBorder="1" applyAlignment="1" applyProtection="0">
      <alignment vertical="top" wrapText="1"/>
    </xf>
    <xf numFmtId="0" fontId="0" fillId="2" borderId="47" applyNumberFormat="0" applyFont="1" applyFill="1" applyBorder="1" applyAlignment="1" applyProtection="0">
      <alignment vertical="top" wrapText="1"/>
    </xf>
    <xf numFmtId="0" fontId="0" fillId="2" borderId="47" applyNumberFormat="0" applyFont="1" applyFill="1" applyBorder="1" applyAlignment="1" applyProtection="0">
      <alignment horizontal="left" vertical="top"/>
    </xf>
    <xf numFmtId="0" fontId="0" fillId="2" borderId="48" applyNumberFormat="0" applyFont="1" applyFill="1" applyBorder="1" applyAlignment="1" applyProtection="0">
      <alignment vertical="top" wrapText="1"/>
    </xf>
    <xf numFmtId="60" fontId="0" fillId="2" borderId="47" applyNumberFormat="1" applyFont="1" applyFill="1" applyBorder="1" applyAlignment="1" applyProtection="0">
      <alignment vertical="top" wrapText="1"/>
    </xf>
    <xf numFmtId="0" fontId="0" fillId="2" borderId="50" applyNumberFormat="0" applyFont="1" applyFill="1" applyBorder="1" applyAlignment="1" applyProtection="0">
      <alignment horizontal="left" vertical="top"/>
    </xf>
    <xf numFmtId="0" fontId="0" fillId="2" borderId="47" applyNumberFormat="0" applyFont="1" applyFill="1" applyBorder="1" applyAlignment="1" applyProtection="0">
      <alignment horizontal="left" vertical="top" wrapText="1"/>
    </xf>
    <xf numFmtId="59" fontId="0" fillId="2" borderId="47" applyNumberFormat="1" applyFont="1" applyFill="1" applyBorder="1" applyAlignment="1" applyProtection="0">
      <alignment horizontal="left" vertical="top" wrapText="1"/>
    </xf>
    <xf numFmtId="0" fontId="0" fillId="2" borderId="48" applyNumberFormat="0" applyFont="1" applyFill="1" applyBorder="1" applyAlignment="1" applyProtection="0">
      <alignment horizontal="left" vertical="top" wrapText="1"/>
    </xf>
    <xf numFmtId="0" fontId="0" fillId="2" borderId="46" applyNumberFormat="0" applyFont="1" applyFill="1" applyBorder="1" applyAlignment="1" applyProtection="0">
      <alignment horizontal="left" vertical="top" wrapText="1"/>
    </xf>
    <xf numFmtId="49" fontId="0" fillId="2" borderId="48" applyNumberFormat="1" applyFont="1" applyFill="1" applyBorder="1" applyAlignment="1" applyProtection="0">
      <alignment horizontal="right" vertical="top" wrapText="1"/>
    </xf>
    <xf numFmtId="0" fontId="0" fillId="2" borderId="46" applyNumberFormat="0" applyFont="1" applyFill="1" applyBorder="1" applyAlignment="1" applyProtection="0">
      <alignment horizontal="right" vertical="top" wrapText="1"/>
    </xf>
    <xf numFmtId="49" fontId="5" fillId="2" borderId="48" applyNumberFormat="1" applyFont="1" applyFill="1" applyBorder="1" applyAlignment="1" applyProtection="0">
      <alignment horizontal="right" vertical="bottom" wrapText="1"/>
    </xf>
    <xf numFmtId="0" fontId="5" fillId="2" borderId="46" applyNumberFormat="0" applyFont="1" applyFill="1" applyBorder="1" applyAlignment="1" applyProtection="0">
      <alignment horizontal="right" vertical="bottom" wrapText="1"/>
    </xf>
    <xf numFmtId="60" fontId="5" fillId="2" borderId="4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left" vertical="bottom"/>
    </xf>
    <xf numFmtId="49" fontId="0" fillId="2" borderId="8" applyNumberFormat="1" applyFont="1" applyFill="1" applyBorder="1" applyAlignment="1" applyProtection="0">
      <alignment horizontal="left" vertical="top"/>
    </xf>
    <xf numFmtId="0" fontId="0" fillId="2" borderId="8" applyNumberFormat="0" applyFont="1" applyFill="1" applyBorder="1" applyAlignment="1" applyProtection="0">
      <alignment horizontal="left" vertical="top"/>
    </xf>
    <xf numFmtId="49" fontId="6" fillId="2" borderId="7" applyNumberFormat="1" applyFont="1" applyFill="1" applyBorder="1" applyAlignment="1" applyProtection="0">
      <alignment horizontal="left" vertical="top"/>
    </xf>
    <xf numFmtId="0" fontId="6" fillId="2" borderId="7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daeef3"/>
      <rgbColor rgb="ff0000f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enjones1111@gmail.com" TargetMode="External"/><Relationship Id="rId2" Type="http://schemas.openxmlformats.org/officeDocument/2006/relationships/hyperlink" Target="mailto:henjones1111@gmail.com" TargetMode="External"/><Relationship Id="rId3" Type="http://schemas.openxmlformats.org/officeDocument/2006/relationships/hyperlink" Target="http://amazon.com" TargetMode="External"/><Relationship Id="rId4" Type="http://schemas.openxmlformats.org/officeDocument/2006/relationships/hyperlink" Target="https://www.amazon.com/cncarbonfiber-16x14x600MM-Available-Wrapped-16x14x600mm/dp/B09TYYB4ZQ/ref=sr_1_11?crid=X6DMCD68R4YR&amp;dib=eyJ2IjoiMSJ9.WYzS64-ry585SJBp_b-_9_5hgjeTv4JY1GOWJzNutC17kR904XQJr-9ubgev94H4kl99rONAoWpzgLO6MNwkf_zf7uqMjoWmLobQCVkKivg80oFUsXlkXOE_M6gg_zrsz-31H2AbsK3TK-pdAA33eYmrRJGJyd2qre4n9c_Il0mHJAOXEIER3e9pW9MaWSQI_CEK1Hd425DuvcWikxKFK_erqRCpMwRnwbPSS1nJyV4.U2W0dnkqYc0WzsZSshrC6IdjZ1laLZjn7G9DzV4oOhc&amp;dib_tag=se&amp;keywords=15mm+carbon+tube&amp;qid=1781643028&amp;sprefix=15mm+carbon+tube+,aps,207&amp;sr=8-11&amp;th=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50"/>
  <sheetViews>
    <sheetView workbookViewId="0" showGridLines="0" defaultGridColor="1"/>
  </sheetViews>
  <sheetFormatPr defaultColWidth="9.4" defaultRowHeight="13.15" customHeight="1" outlineLevelRow="0" outlineLevelCol="0"/>
  <cols>
    <col min="1" max="1" width="3.60156" style="1" customWidth="1"/>
    <col min="2" max="2" width="8" style="1" customWidth="1"/>
    <col min="3" max="3" width="9.60156" style="1" customWidth="1"/>
    <col min="4" max="5" width="12.6016" style="1" customWidth="1"/>
    <col min="6" max="6" width="3" style="1" customWidth="1"/>
    <col min="7" max="7" width="16.8125" style="1" customWidth="1"/>
    <col min="8" max="8" width="35.6016" style="1" customWidth="1"/>
    <col min="9" max="9" width="12.6016" style="1" customWidth="1"/>
    <col min="10" max="10" width="8" style="1" customWidth="1"/>
    <col min="11" max="11" width="9.42188" style="1" customWidth="1"/>
    <col min="12" max="16384" width="9.42188" style="1" customWidth="1"/>
  </cols>
  <sheetData>
    <row r="1" ht="30.95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2"/>
      <c r="K1" s="2"/>
    </row>
    <row r="2" ht="21" customHeight="1">
      <c r="A2" s="2"/>
      <c r="B2" t="s" s="5">
        <v>1</v>
      </c>
      <c r="C2" s="4"/>
      <c r="D2" s="4"/>
      <c r="E2" s="4"/>
      <c r="F2" s="4"/>
      <c r="G2" s="4"/>
      <c r="H2" s="4"/>
      <c r="I2" s="4"/>
      <c r="J2" s="2"/>
      <c r="K2" s="2"/>
    </row>
    <row r="3" ht="12" customHeight="1">
      <c r="A3" s="2"/>
      <c r="B3" s="6"/>
      <c r="C3" s="2"/>
      <c r="D3" s="2"/>
      <c r="E3" s="2"/>
      <c r="F3" s="2"/>
      <c r="G3" s="2"/>
      <c r="H3" s="2"/>
      <c r="I3" s="2"/>
      <c r="J3" s="2"/>
      <c r="K3" s="2"/>
    </row>
    <row r="4" ht="15" customHeight="1">
      <c r="A4" s="2"/>
      <c r="B4" t="s" s="7">
        <v>2</v>
      </c>
      <c r="C4" s="8"/>
      <c r="D4" s="8"/>
      <c r="E4" s="8"/>
      <c r="F4" s="2"/>
      <c r="G4" t="s" s="7">
        <v>3</v>
      </c>
      <c r="H4" s="8"/>
      <c r="I4" s="8"/>
      <c r="J4" s="2"/>
      <c r="K4" s="2"/>
    </row>
    <row r="5" ht="15" customHeight="1">
      <c r="A5" s="2"/>
      <c r="B5" t="s" s="9">
        <v>4</v>
      </c>
      <c r="C5" s="10"/>
      <c r="D5" s="10"/>
      <c r="E5" s="11"/>
      <c r="F5" s="2"/>
      <c r="G5" t="s" s="9">
        <v>5</v>
      </c>
      <c r="H5" s="10"/>
      <c r="I5" s="10"/>
      <c r="J5" s="2"/>
      <c r="K5" s="2"/>
    </row>
    <row r="6" ht="16.9" customHeight="1">
      <c r="A6" s="2"/>
      <c r="B6" t="s" s="9">
        <v>6</v>
      </c>
      <c r="C6" s="10"/>
      <c r="D6" s="12"/>
      <c r="E6" t="s" s="13">
        <v>7</v>
      </c>
      <c r="F6" s="14"/>
      <c r="G6" t="s" s="9">
        <v>8</v>
      </c>
      <c r="H6" s="10"/>
      <c r="I6" s="10"/>
      <c r="J6" s="2"/>
      <c r="K6" s="2"/>
    </row>
    <row r="7" ht="16.9" customHeight="1">
      <c r="A7" s="2"/>
      <c r="B7" t="s" s="9">
        <v>9</v>
      </c>
      <c r="C7" s="11"/>
      <c r="D7" s="11"/>
      <c r="E7" s="15"/>
      <c r="F7" s="2"/>
      <c r="G7" t="s" s="16">
        <v>10</v>
      </c>
      <c r="H7" s="17"/>
      <c r="I7" s="17"/>
      <c r="J7" s="2"/>
      <c r="K7" s="2"/>
    </row>
    <row r="8" ht="15" customHeight="1">
      <c r="A8" s="2"/>
      <c r="B8" t="s" s="18">
        <v>11</v>
      </c>
      <c r="C8" t="s" s="19">
        <v>12</v>
      </c>
      <c r="D8" s="20"/>
      <c r="E8" s="20"/>
      <c r="F8" s="14"/>
      <c r="G8" s="10"/>
      <c r="H8" s="10"/>
      <c r="I8" s="10"/>
      <c r="J8" s="2"/>
      <c r="K8" s="2"/>
    </row>
    <row r="9" ht="15" customHeight="1">
      <c r="A9" s="2"/>
      <c r="B9" s="10"/>
      <c r="C9" t="s" s="21">
        <v>13</v>
      </c>
      <c r="D9" s="22"/>
      <c r="E9" s="22"/>
      <c r="F9" s="2"/>
      <c r="G9" s="10"/>
      <c r="H9" s="10"/>
      <c r="I9" s="10"/>
      <c r="J9" s="2"/>
      <c r="K9" s="2"/>
    </row>
    <row r="10" ht="20.1" customHeight="1">
      <c r="A10" s="2"/>
      <c r="B10" t="s" s="5">
        <v>14</v>
      </c>
      <c r="C10" s="23"/>
      <c r="D10" s="24"/>
      <c r="E10" s="24"/>
      <c r="F10" s="23"/>
      <c r="G10" s="23"/>
      <c r="H10" s="24"/>
      <c r="I10" s="24"/>
      <c r="J10" s="2"/>
      <c r="K10" s="2"/>
    </row>
    <row r="11" ht="15" customHeight="1">
      <c r="A11" s="2"/>
      <c r="B11" t="s" s="25">
        <v>15</v>
      </c>
      <c r="C11" s="26"/>
      <c r="D11" t="s" s="27">
        <v>16</v>
      </c>
      <c r="E11" s="28"/>
      <c r="F11" s="29"/>
      <c r="G11" t="s" s="30">
        <v>17</v>
      </c>
      <c r="H11" s="31">
        <v>46189</v>
      </c>
      <c r="I11" s="28"/>
      <c r="J11" s="14"/>
      <c r="K11" s="2"/>
    </row>
    <row r="12" ht="15" customHeight="1">
      <c r="A12" s="2"/>
      <c r="B12" t="s" s="32">
        <v>18</v>
      </c>
      <c r="C12" s="33"/>
      <c r="D12" t="s" s="34">
        <v>19</v>
      </c>
      <c r="E12" s="35"/>
      <c r="F12" s="29"/>
      <c r="G12" t="s" s="36">
        <v>20</v>
      </c>
      <c r="H12" s="35"/>
      <c r="I12" s="35"/>
      <c r="J12" s="14"/>
      <c r="K12" s="2"/>
    </row>
    <row r="13" ht="15" customHeight="1">
      <c r="A13" s="2"/>
      <c r="B13" t="s" s="32">
        <v>21</v>
      </c>
      <c r="C13" s="33"/>
      <c r="D13" t="s" s="34">
        <v>22</v>
      </c>
      <c r="E13" s="35"/>
      <c r="F13" s="29"/>
      <c r="G13" t="s" s="36">
        <v>23</v>
      </c>
      <c r="H13" t="s" s="34">
        <v>24</v>
      </c>
      <c r="I13" s="35"/>
      <c r="J13" s="14"/>
      <c r="K13" s="2"/>
    </row>
    <row r="14" ht="15" customHeight="1">
      <c r="A14" s="2"/>
      <c r="B14" t="s" s="32">
        <v>25</v>
      </c>
      <c r="C14" s="33"/>
      <c r="D14" t="s" s="34">
        <v>26</v>
      </c>
      <c r="E14" s="35"/>
      <c r="F14" s="29"/>
      <c r="G14" t="s" s="37">
        <v>27</v>
      </c>
      <c r="H14" s="38"/>
      <c r="I14" s="38"/>
      <c r="J14" s="2"/>
      <c r="K14" s="2"/>
    </row>
    <row r="15" ht="9.95" customHeight="1">
      <c r="A15" s="2"/>
      <c r="B15" s="39"/>
      <c r="C15" s="39"/>
      <c r="D15" s="39"/>
      <c r="E15" s="39"/>
      <c r="F15" s="17"/>
      <c r="G15" s="39"/>
      <c r="H15" s="39"/>
      <c r="I15" s="39"/>
      <c r="J15" s="2"/>
      <c r="K15" s="2"/>
    </row>
    <row r="16" ht="13.55" customHeight="1">
      <c r="A16" s="2"/>
      <c r="B16" t="s" s="40">
        <v>28</v>
      </c>
      <c r="C16" s="17"/>
      <c r="D16" s="17"/>
      <c r="E16" s="17"/>
      <c r="F16" s="17"/>
      <c r="G16" t="s" s="16">
        <v>29</v>
      </c>
      <c r="H16" t="s" s="16">
        <v>30</v>
      </c>
      <c r="I16" s="17"/>
      <c r="J16" s="2"/>
      <c r="K16" s="2"/>
    </row>
    <row r="17" ht="9.95" customHeight="1">
      <c r="A17" s="2"/>
      <c r="B17" s="41"/>
      <c r="C17" s="41"/>
      <c r="D17" s="41"/>
      <c r="E17" s="41"/>
      <c r="F17" s="41"/>
      <c r="G17" s="41"/>
      <c r="H17" s="41"/>
      <c r="I17" s="41"/>
      <c r="J17" s="2"/>
      <c r="K17" s="2"/>
    </row>
    <row r="18" ht="13.5" customHeight="1">
      <c r="A18" s="42"/>
      <c r="B18" t="s" s="43">
        <v>31</v>
      </c>
      <c r="C18" s="44"/>
      <c r="D18" s="45"/>
      <c r="E18" s="45"/>
      <c r="F18" s="44"/>
      <c r="G18" s="45"/>
      <c r="H18" s="45"/>
      <c r="I18" s="46"/>
      <c r="J18" s="47"/>
      <c r="K18" s="48"/>
    </row>
    <row r="19" ht="18" customHeight="1">
      <c r="A19" s="42"/>
      <c r="B19" t="s" s="49">
        <v>32</v>
      </c>
      <c r="C19" s="26"/>
      <c r="D19" t="s" s="27">
        <v>33</v>
      </c>
      <c r="E19" s="28"/>
      <c r="F19" s="50"/>
      <c r="G19" t="s" s="51">
        <v>34</v>
      </c>
      <c r="H19" s="52"/>
      <c r="I19" s="53"/>
      <c r="J19" s="47"/>
      <c r="K19" s="48"/>
    </row>
    <row r="20" ht="15" customHeight="1">
      <c r="A20" s="42"/>
      <c r="B20" t="s" s="54">
        <v>35</v>
      </c>
      <c r="C20" s="55"/>
      <c r="D20" s="35"/>
      <c r="E20" s="35"/>
      <c r="F20" s="56"/>
      <c r="G20" t="s" s="57">
        <v>36</v>
      </c>
      <c r="H20" t="s" s="34">
        <v>37</v>
      </c>
      <c r="I20" s="58"/>
      <c r="J20" s="47"/>
      <c r="K20" s="2"/>
    </row>
    <row r="21" ht="15" customHeight="1">
      <c r="A21" s="42"/>
      <c r="B21" s="59"/>
      <c r="C21" s="60"/>
      <c r="D21" s="35"/>
      <c r="E21" s="35"/>
      <c r="F21" s="56"/>
      <c r="G21" t="s" s="36">
        <v>38</v>
      </c>
      <c r="H21" s="35"/>
      <c r="I21" s="58"/>
      <c r="J21" s="47"/>
      <c r="K21" s="2"/>
    </row>
    <row r="22" ht="18" customHeight="1">
      <c r="A22" s="42"/>
      <c r="B22" t="s" s="49">
        <v>39</v>
      </c>
      <c r="C22" s="26"/>
      <c r="D22" s="35"/>
      <c r="E22" s="35"/>
      <c r="F22" s="56"/>
      <c r="G22" t="s" s="36">
        <v>40</v>
      </c>
      <c r="H22" s="35"/>
      <c r="I22" s="58"/>
      <c r="J22" s="47"/>
      <c r="K22" s="2"/>
    </row>
    <row r="23" ht="9.95" customHeight="1">
      <c r="A23" s="42"/>
      <c r="B23" s="61"/>
      <c r="C23" s="62"/>
      <c r="D23" s="62"/>
      <c r="E23" s="62"/>
      <c r="F23" s="63"/>
      <c r="G23" s="62"/>
      <c r="H23" s="62"/>
      <c r="I23" s="64"/>
      <c r="J23" s="47"/>
      <c r="K23" s="2"/>
    </row>
    <row r="24" ht="15" customHeight="1">
      <c r="A24" s="42"/>
      <c r="B24" t="s" s="65">
        <v>41</v>
      </c>
      <c r="C24" s="66"/>
      <c r="D24" s="66"/>
      <c r="E24" s="66"/>
      <c r="F24" s="66"/>
      <c r="G24" s="66"/>
      <c r="H24" s="66"/>
      <c r="I24" s="67"/>
      <c r="J24" s="47"/>
      <c r="K24" s="2"/>
    </row>
    <row r="25" ht="15" customHeight="1">
      <c r="A25" s="42"/>
      <c r="B25" t="s" s="68">
        <v>42</v>
      </c>
      <c r="C25" s="69"/>
      <c r="D25" s="69"/>
      <c r="E25" s="69"/>
      <c r="F25" s="69"/>
      <c r="G25" s="69"/>
      <c r="H25" s="69"/>
      <c r="I25" s="70"/>
      <c r="J25" s="47"/>
      <c r="K25" s="2"/>
    </row>
    <row r="26" ht="9.95" customHeight="1">
      <c r="A26" s="42"/>
      <c r="B26" s="71"/>
      <c r="C26" s="72"/>
      <c r="D26" s="72"/>
      <c r="E26" s="72"/>
      <c r="F26" s="72"/>
      <c r="G26" s="72"/>
      <c r="H26" s="72"/>
      <c r="I26" s="73"/>
      <c r="J26" s="47"/>
      <c r="K26" s="2"/>
    </row>
    <row r="27" ht="14.1" customHeight="1">
      <c r="A27" s="42"/>
      <c r="B27" t="s" s="74">
        <v>43</v>
      </c>
      <c r="C27" s="75"/>
      <c r="D27" s="75"/>
      <c r="E27" s="75"/>
      <c r="F27" s="75"/>
      <c r="G27" s="75"/>
      <c r="H27" s="75"/>
      <c r="I27" s="76"/>
      <c r="J27" s="47"/>
      <c r="K27" s="2"/>
    </row>
    <row r="28" ht="15" customHeight="1">
      <c r="A28" s="42"/>
      <c r="B28" t="s" s="77">
        <v>44</v>
      </c>
      <c r="C28" s="78"/>
      <c r="D28" s="78"/>
      <c r="E28" s="78"/>
      <c r="F28" s="78"/>
      <c r="G28" s="78"/>
      <c r="H28" s="78"/>
      <c r="I28" s="79"/>
      <c r="J28" s="47"/>
      <c r="K28" s="2"/>
    </row>
    <row r="29" ht="9.95" customHeight="1">
      <c r="A29" s="80"/>
      <c r="B29" s="81"/>
      <c r="C29" s="81"/>
      <c r="D29" s="81"/>
      <c r="E29" s="81"/>
      <c r="F29" s="81"/>
      <c r="G29" s="81"/>
      <c r="H29" s="81"/>
      <c r="I29" s="81"/>
      <c r="J29" s="14"/>
      <c r="K29" s="2"/>
    </row>
    <row r="30" ht="12.95" customHeight="1">
      <c r="A30" s="2"/>
      <c r="B30" t="s" s="82">
        <v>45</v>
      </c>
      <c r="C30" t="s" s="83">
        <v>46</v>
      </c>
      <c r="D30" t="s" s="83">
        <v>47</v>
      </c>
      <c r="E30" t="s" s="84">
        <v>48</v>
      </c>
      <c r="F30" s="85"/>
      <c r="G30" t="s" s="84">
        <v>49</v>
      </c>
      <c r="H30" s="85"/>
      <c r="I30" t="s" s="83">
        <v>50</v>
      </c>
      <c r="J30" s="86"/>
      <c r="K30" s="2"/>
    </row>
    <row r="31" ht="12.95" customHeight="1">
      <c r="A31" s="87">
        <v>1</v>
      </c>
      <c r="B31" s="88">
        <v>1</v>
      </c>
      <c r="C31" s="88">
        <v>2</v>
      </c>
      <c r="D31" s="89">
        <v>24.98</v>
      </c>
      <c r="E31" t="s" s="90">
        <v>51</v>
      </c>
      <c r="F31" s="91"/>
      <c r="G31" t="s" s="90">
        <v>52</v>
      </c>
      <c r="H31" s="91"/>
      <c r="I31" s="92">
        <v>24.98</v>
      </c>
      <c r="J31" s="86"/>
      <c r="K31" s="2"/>
    </row>
    <row r="32" ht="12.95" customHeight="1">
      <c r="A32" s="87" cm="1">
        <f t="array" ref="A32">1+A31</f>
        <v>2</v>
      </c>
      <c r="B32" s="93"/>
      <c r="C32" s="94"/>
      <c r="D32" s="89"/>
      <c r="E32" s="95"/>
      <c r="F32" s="91"/>
      <c r="G32" s="95"/>
      <c r="H32" s="91"/>
      <c r="I32" s="92"/>
      <c r="J32" s="86"/>
      <c r="K32" s="2"/>
    </row>
    <row r="33" ht="15" customHeight="1">
      <c r="A33" s="87" cm="1">
        <f t="array" ref="A33">1+A32</f>
        <v>3</v>
      </c>
      <c r="B33" s="93"/>
      <c r="C33" s="93"/>
      <c r="D33" s="89"/>
      <c r="E33" s="95"/>
      <c r="F33" s="91"/>
      <c r="G33" s="95"/>
      <c r="H33" s="91"/>
      <c r="I33" s="92"/>
      <c r="J33" s="86"/>
      <c r="K33" s="2"/>
    </row>
    <row r="34" ht="15" customHeight="1">
      <c r="A34" s="87" cm="1">
        <f t="array" ref="A34">1+A33</f>
        <v>4</v>
      </c>
      <c r="B34" s="93"/>
      <c r="C34" s="93"/>
      <c r="D34" s="89"/>
      <c r="E34" s="95"/>
      <c r="F34" s="91"/>
      <c r="G34" s="95"/>
      <c r="H34" s="91"/>
      <c r="I34" s="92"/>
      <c r="J34" s="86"/>
      <c r="K34" s="2"/>
    </row>
    <row r="35" ht="15" customHeight="1">
      <c r="A35" s="87" cm="1">
        <f t="array" ref="A35">1+A34</f>
        <v>5</v>
      </c>
      <c r="B35" s="93"/>
      <c r="C35" s="93"/>
      <c r="D35" s="89"/>
      <c r="E35" s="95"/>
      <c r="F35" s="91"/>
      <c r="G35" s="95"/>
      <c r="H35" s="91"/>
      <c r="I35" s="92"/>
      <c r="J35" s="86"/>
      <c r="K35" s="2"/>
    </row>
    <row r="36" ht="15" customHeight="1">
      <c r="A36" s="87" cm="1">
        <f t="array" ref="A36">1+A35</f>
        <v>6</v>
      </c>
      <c r="B36" s="93"/>
      <c r="C36" s="93"/>
      <c r="D36" s="89"/>
      <c r="E36" s="95"/>
      <c r="F36" s="91"/>
      <c r="G36" s="95"/>
      <c r="H36" s="91"/>
      <c r="I36" s="92"/>
      <c r="J36" s="86"/>
      <c r="K36" s="2"/>
    </row>
    <row r="37" ht="15" customHeight="1">
      <c r="A37" s="87" cm="1">
        <f t="array" ref="A37">1+A36</f>
        <v>7</v>
      </c>
      <c r="B37" s="93"/>
      <c r="C37" s="93"/>
      <c r="D37" s="89"/>
      <c r="E37" s="95"/>
      <c r="F37" s="91"/>
      <c r="G37" s="95"/>
      <c r="H37" s="91"/>
      <c r="I37" s="92"/>
      <c r="J37" s="86"/>
      <c r="K37" s="2"/>
    </row>
    <row r="38" ht="15" customHeight="1">
      <c r="A38" s="87" cm="1">
        <f t="array" ref="A38">1+A37</f>
        <v>8</v>
      </c>
      <c r="B38" s="93"/>
      <c r="C38" s="93"/>
      <c r="D38" s="89"/>
      <c r="E38" s="95"/>
      <c r="F38" s="91"/>
      <c r="G38" s="95"/>
      <c r="H38" s="91"/>
      <c r="I38" s="92"/>
      <c r="J38" s="86"/>
      <c r="K38" s="2"/>
    </row>
    <row r="39" ht="15" customHeight="1">
      <c r="A39" s="87" cm="1">
        <f t="array" ref="A39">1+A38</f>
        <v>9</v>
      </c>
      <c r="B39" s="93"/>
      <c r="C39" s="93"/>
      <c r="D39" s="89"/>
      <c r="E39" s="95"/>
      <c r="F39" s="91"/>
      <c r="G39" s="95"/>
      <c r="H39" s="91"/>
      <c r="I39" s="96"/>
      <c r="J39" s="86"/>
      <c r="K39" s="2"/>
    </row>
    <row r="40" ht="15" customHeight="1">
      <c r="A40" s="87" cm="1">
        <f t="array" ref="A40">1+A39</f>
        <v>10</v>
      </c>
      <c r="B40" s="93"/>
      <c r="C40" s="93"/>
      <c r="D40" s="89"/>
      <c r="E40" s="95"/>
      <c r="F40" s="91"/>
      <c r="G40" s="95"/>
      <c r="H40" s="91"/>
      <c r="I40" s="96"/>
      <c r="J40" s="86"/>
      <c r="K40" s="2"/>
    </row>
    <row r="41" ht="15" customHeight="1">
      <c r="A41" s="87" cm="1">
        <f t="array" ref="A41">1+A40</f>
        <v>11</v>
      </c>
      <c r="B41" s="93"/>
      <c r="C41" s="93"/>
      <c r="D41" s="89"/>
      <c r="E41" s="95"/>
      <c r="F41" s="91"/>
      <c r="G41" s="95"/>
      <c r="H41" s="91"/>
      <c r="I41" s="96"/>
      <c r="J41" s="86"/>
      <c r="K41" s="2"/>
    </row>
    <row r="42" ht="15" customHeight="1">
      <c r="A42" s="87" cm="1">
        <f t="array" ref="A42">1+A41</f>
        <v>12</v>
      </c>
      <c r="B42" s="93"/>
      <c r="C42" s="93"/>
      <c r="D42" s="89"/>
      <c r="E42" s="95"/>
      <c r="F42" s="91"/>
      <c r="G42" s="95"/>
      <c r="H42" s="91"/>
      <c r="I42" s="96"/>
      <c r="J42" s="86"/>
      <c r="K42" s="2"/>
    </row>
    <row r="43" ht="15" customHeight="1">
      <c r="A43" s="87" cm="1">
        <f t="array" ref="A43">1+A42</f>
        <v>13</v>
      </c>
      <c r="B43" s="93"/>
      <c r="C43" s="93"/>
      <c r="D43" s="89"/>
      <c r="E43" s="95"/>
      <c r="F43" s="91"/>
      <c r="G43" s="95"/>
      <c r="H43" s="91"/>
      <c r="I43" s="96"/>
      <c r="J43" s="86"/>
      <c r="K43" s="2"/>
    </row>
    <row r="44" ht="15" customHeight="1">
      <c r="A44" s="87" cm="1">
        <f t="array" ref="A44">1+A43</f>
        <v>14</v>
      </c>
      <c r="B44" s="93"/>
      <c r="C44" s="93"/>
      <c r="D44" s="89"/>
      <c r="E44" s="95"/>
      <c r="F44" s="91"/>
      <c r="G44" s="95"/>
      <c r="H44" s="91"/>
      <c r="I44" s="96"/>
      <c r="J44" s="86"/>
      <c r="K44" s="2"/>
    </row>
    <row r="45" ht="15" customHeight="1">
      <c r="A45" s="97"/>
      <c r="B45" s="98"/>
      <c r="C45" s="98"/>
      <c r="D45" s="99"/>
      <c r="E45" s="100"/>
      <c r="F45" s="101"/>
      <c r="G45" t="s" s="102">
        <v>53</v>
      </c>
      <c r="H45" s="103"/>
      <c r="I45" s="96">
        <v>0</v>
      </c>
      <c r="J45" s="86"/>
      <c r="K45" s="2"/>
    </row>
    <row r="46" ht="15" customHeight="1">
      <c r="A46" s="97"/>
      <c r="B46" s="98"/>
      <c r="C46" s="98"/>
      <c r="D46" s="99"/>
      <c r="E46" s="100"/>
      <c r="F46" s="101"/>
      <c r="G46" t="s" s="102">
        <v>54</v>
      </c>
      <c r="H46" s="103"/>
      <c r="I46" s="96" cm="1">
        <f t="array" ref="I46">SUM(I31:I45)*0.095</f>
        <v>2.3731</v>
      </c>
      <c r="J46" s="86"/>
      <c r="K46" s="2"/>
    </row>
    <row r="47" ht="15" customHeight="1">
      <c r="A47" s="97"/>
      <c r="B47" s="98"/>
      <c r="C47" s="98"/>
      <c r="D47" s="99"/>
      <c r="E47" s="100"/>
      <c r="F47" s="101"/>
      <c r="G47" t="s" s="104">
        <v>55</v>
      </c>
      <c r="H47" s="105"/>
      <c r="I47" s="106" cm="1">
        <f t="array" ref="I47">SUM(I31:I46)</f>
        <v>27.3531</v>
      </c>
      <c r="J47" s="86"/>
      <c r="K47" s="2"/>
    </row>
    <row r="48" ht="15" customHeight="1">
      <c r="A48" s="2"/>
      <c r="B48" s="107"/>
      <c r="C48" s="107"/>
      <c r="D48" s="107"/>
      <c r="E48" s="107"/>
      <c r="F48" s="107"/>
      <c r="G48" s="107"/>
      <c r="H48" s="107"/>
      <c r="I48" s="107"/>
      <c r="J48" s="2"/>
      <c r="K48" s="2"/>
    </row>
    <row r="49" ht="15" customHeight="1">
      <c r="A49" s="2"/>
      <c r="B49" t="s" s="25">
        <v>56</v>
      </c>
      <c r="C49" s="108"/>
      <c r="D49" s="108"/>
      <c r="E49" s="108"/>
      <c r="F49" s="2"/>
      <c r="G49" t="s" s="109">
        <v>57</v>
      </c>
      <c r="H49" s="110"/>
      <c r="I49" s="110"/>
      <c r="J49" s="2"/>
      <c r="K49" s="2"/>
    </row>
    <row r="50" ht="15" customHeight="1">
      <c r="A50" s="2"/>
      <c r="B50" s="39"/>
      <c r="C50" s="39"/>
      <c r="D50" s="39"/>
      <c r="E50" s="39"/>
      <c r="F50" s="2"/>
      <c r="G50" t="s" s="111">
        <v>58</v>
      </c>
      <c r="H50" s="112"/>
      <c r="I50" s="112"/>
      <c r="J50" s="2"/>
      <c r="K50" s="2"/>
    </row>
  </sheetData>
  <mergeCells count="83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27:I27"/>
    <mergeCell ref="E30:F30"/>
    <mergeCell ref="E33:F33"/>
    <mergeCell ref="E31:F31"/>
    <mergeCell ref="E34:F34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  <mergeCell ref="B1:I1"/>
    <mergeCell ref="B2:I2"/>
  </mergeCells>
  <hyperlinks>
    <hyperlink ref="C8" r:id="rId1" location="" tooltip="" display="henjones1111@gmail.com"/>
    <hyperlink ref="D14" r:id="rId2" location="" tooltip="" display="henjones1111@gmail.com"/>
    <hyperlink ref="H20" r:id="rId3" location="" tooltip="" display="amazon.com"/>
    <hyperlink ref="B28" r:id="rId4" location="" tooltip="" display="https://www.amazon.com/cncarbonfiber-16x14x600MM-Available-Wrapped-16x14x600mm/dp/B09TYYB4ZQ/ref=sr_1_11?crid=X6DMCD68R4YR&amp;dib=eyJ2IjoiMSJ9.WYzS64-ry585SJBp_b-_9_5hgjeTv4JY1GOWJzNutC17kR904XQJr-9ubgev94H4kl99rONAoWpzgLO6MNwkf_zf7uqMjoWmLobQCVkKivg80oFUsXlkXOE_M6gg_zrsz-31H2AbsK3TK-pdAA33eYmrRJGJyd2qre4n9c_Il0mHJAOXEIER3e9pW9MaWSQI_CEK1Hd425DuvcWikxKFK_erqRCpMwRnwbPSS1nJyV4.U2W0dnkqYc0WzsZSshrC6IdjZ1laLZjn7G9DzV4oOhc&amp;dib_tag=se&amp;keywords=15mm+carbon+tube&amp;qid=1781643028&amp;sprefix=15mm+carbon+tube+,aps,207&amp;sr=8-11&amp;th=1"/>
  </hyperlinks>
  <pageMargins left="0.15" right="0.15" top="0.35" bottom="0.25" header="0.3" footer="0"/>
  <pageSetup firstPageNumber="1" fitToHeight="1" fitToWidth="1" scale="100" useFirstPageNumber="0" orientation="portrait" pageOrder="downThenOver"/>
  <headerFooter>
    <oddFooter>&amp;L&amp;"Times New Roman,Regular"&amp;8&amp;K000000Udated: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