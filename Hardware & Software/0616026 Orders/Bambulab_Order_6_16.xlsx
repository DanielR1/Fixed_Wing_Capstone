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 &amp; Software\0616026 Orders\"/>
    </mc:Choice>
  </mc:AlternateContent>
  <xr:revisionPtr revIDLastSave="0" documentId="13_ncr:1_{F5AB22C4-A8BE-42B3-A5B0-47651E313191}" xr6:coauthVersionLast="47" xr6:coauthVersionMax="47" xr10:uidLastSave="{00000000-0000-0000-0000-000000000000}"/>
  <bookViews>
    <workbookView xWindow="6633" yWindow="2840" windowWidth="16200" windowHeight="9273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A32" i="1" a="1"/>
  <c r="I46" i="1" l="1" a="1"/>
  <c r="A33" i="1" a="1"/>
  <c r="A34" i="1" s="1" a="1"/>
  <c r="A35" i="1" s="1" a="1"/>
  <c r="A36" i="1" s="1" a="1"/>
  <c r="A37" i="1" s="1" a="1"/>
  <c r="A38" i="1" s="1" a="1"/>
  <c r="A39" i="1" a="1"/>
  <c r="A40" i="1" s="1" a="1"/>
  <c r="A41" i="1" s="1" a="1"/>
  <c r="A42" i="1" s="1" a="1"/>
  <c r="A43" i="1" s="1" a="1"/>
  <c r="A44" i="1" s="1" a="1"/>
  <c r="I47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<sst xmlns="http://schemas.openxmlformats.org/spreadsheetml/2006/main" count="58" uniqueCount="58">
  <si>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</si>
  <si>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</si>
  <si>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</si>
  <si>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</si>
  <si>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</si>
  <si>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</si>
  <si>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</si>
  <si>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</si>
  <si>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</si>
  <si>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</si>
  <si>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</si>
  <si>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</si>
  <si>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r>
      <rPr>
        <sz val="10"/>
        <color indexed="8"/>
        <rFont val="Times New Roman"/>
      </rPr>
      <t xml:space="preserve">Henry Jones, </t>
    </r>
    <r>
      <rPr>
        <u/>
        <sz val="10"/>
        <color indexed="13"/>
        <rFont val="Times New Roman"/>
      </rPr>
      <t>henjones1111@gmail.com</t>
    </r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</si>
  <si>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</si>
  <si>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</si>
  <si>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</si>
  <si>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</si>
  <si>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</si>
  <si>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</si>
  <si>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</si>
  <si>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</si>
  <si>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</si>
  <si>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</si>
  <si>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</si>
  <si>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Brett Lopez</t>
  </si>
  <si>
    <t>Email:</t>
  </si>
  <si>
    <r>
      <rPr>
        <u/>
        <sz val="10"/>
        <color indexed="13"/>
        <rFont val="Times New Roman"/>
      </rPr>
      <t>henjones1111@gmail.com</t>
    </r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</si>
  <si>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</si>
  <si>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</si>
  <si>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</si>
  <si>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</si>
  <si>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</si>
  <si>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rPr>
        <sz val="10"/>
        <color indexed="8"/>
        <rFont val="Times New Roman"/>
      </rPr>
      <t xml:space="preserve">Vendor Name: </t>
    </r>
  </si>
  <si>
    <t>Bambulab</t>
  </si>
  <si>
    <t xml:space="preserve">Quote/ Order/ Invoice # </t>
  </si>
  <si>
    <t>Address:</t>
  </si>
  <si>
    <t>Web Address:</t>
  </si>
  <si>
    <r>
      <rPr>
        <u/>
        <sz val="10"/>
        <color indexed="13"/>
        <rFont val="Times New Roman"/>
      </rPr>
      <t>https://us.store.bambulab.com/</t>
    </r>
  </si>
  <si>
    <t>Vendor Phone #:</t>
  </si>
  <si>
    <t>Contact Person:</t>
  </si>
  <si>
    <t>Vendor Email:</t>
  </si>
  <si>
    <t>Provide a detailed business justification for purchase:</t>
  </si>
  <si>
    <t>Graduate research project</t>
  </si>
  <si>
    <t xml:space="preserve">Provide a public cart link or public wish list: </t>
  </si>
  <si>
    <r>
      <rPr>
        <u/>
        <sz val="10"/>
        <color indexed="13"/>
        <rFont val="Times New Roman"/>
      </rPr>
      <t>https://us.store.bambulab.com/products/pla-aero?srsltid=AfmBOorA5miyQa3QkEM89_jzQ4vMh0O00_CfJmPwRMYMZ_PWfhE8CZt-&amp;id=41238296625288</t>
    </r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</si>
  <si>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</si>
  <si>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</si>
  <si>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</si>
  <si>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</si>
  <si>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</si>
  <si>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</si>
  <si>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</si>
  <si>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</si>
  <si>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</si>
  <si>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</si>
  <si>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</si>
  <si>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</si>
  <si>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PLA Aero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</si>
</sst>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&quot; &quot;;\(&quot;$&quot;#,##0.00\)"/>
  </numFmts>
  <fonts count="11" x14ac:knownFonts="1">
    <font>
      <sz val="10"/>
      <color indexed="8"/>
      <name val="Times New Roman"/>
    </font>
    <font>
      <sz val="8"/>
      <color indexed="8"/>
      <name val="Times New Roman"/>
    </font>
    <font>
      <b/>
      <sz val="18"/>
      <color indexed="8"/>
      <name val="Times New Roman"/>
    </font>
    <font>
      <b/>
      <sz val="14"/>
      <color indexed="8"/>
      <name val="Times New Roman"/>
    </font>
    <font>
      <b/>
      <sz val="10"/>
      <color indexed="8"/>
      <name val="Times New Roman"/>
    </font>
    <font>
      <i/>
      <sz val="10"/>
      <color indexed="8"/>
      <name val="Times New Roman"/>
    </font>
    <font>
      <u/>
      <sz val="10"/>
      <color indexed="13"/>
      <name val="Times New Roman"/>
    </font>
    <font>
      <sz val="11"/>
      <color indexed="14"/>
      <name val="Calibri"/>
    </font>
    <font>
      <b/>
      <i/>
      <sz val="10"/>
      <color indexed="8"/>
      <name val="Times New Roman"/>
    </font>
    <font>
      <sz val="10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5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/>
      <top style="thin">
        <color indexed="8"/>
      </top>
      <bottom style="thin">
        <color indexed="10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dashed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dashed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dashed">
        <color indexed="8"/>
      </bottom>
      <diagonal/>
    </border>
    <border>
      <left style="medium">
        <color indexed="8"/>
      </left>
      <right/>
      <top style="dashed">
        <color indexed="8"/>
      </top>
      <bottom/>
      <diagonal/>
    </border>
    <border>
      <left/>
      <right/>
      <top style="dashed">
        <color indexed="8"/>
      </top>
      <bottom/>
      <diagonal/>
    </border>
    <border>
      <left/>
      <right style="medium">
        <color indexed="8"/>
      </right>
      <top style="dashed">
        <color indexed="8"/>
      </top>
      <bottom/>
      <diagonal/>
    </border>
    <border>
      <left style="medium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123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2" borderId="1" xfId="0" applyFill="1" applyBorder="1">
      <alignment horizontal="left" vertical="top"/>
    </xf>
    <xf numFmtId="0" fontId="4" fillId="2" borderId="1" xfId="0" applyFont="1" applyFill="1" applyBorder="1">
      <alignment horizontal="left" vertical="top"/>
    </xf>
    <xf numFmtId="49" fontId="0" fillId="2" borderId="1" xfId="0" applyNumberFormat="1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49" fontId="0" fillId="3" borderId="4" xfId="0" applyNumberFormat="1" applyFill="1" applyBorder="1" applyAlignment="1"/>
    <xf numFmtId="0" fontId="0" fillId="2" borderId="5" xfId="0" applyFill="1" applyBorder="1">
      <alignment horizontal="left" vertical="top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2" borderId="3" xfId="0" applyNumberFormat="1" applyFill="1" applyBorder="1" applyAlignment="1"/>
    <xf numFmtId="49" fontId="0" fillId="4" borderId="4" xfId="0" applyNumberFormat="1" applyFill="1" applyBorder="1" applyAlignment="1"/>
    <xf numFmtId="0" fontId="0" fillId="4" borderId="4" xfId="0" applyFill="1" applyBorder="1" applyAlignment="1"/>
    <xf numFmtId="49" fontId="0" fillId="2" borderId="8" xfId="0" applyNumberForma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49" fontId="0" fillId="2" borderId="9" xfId="0" applyNumberFormat="1" applyFill="1" applyBorder="1" applyAlignment="1">
      <alignment horizontal="left"/>
    </xf>
    <xf numFmtId="49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49" fontId="0" fillId="2" borderId="11" xfId="0" applyNumberForma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0" fillId="2" borderId="14" xfId="0" applyFill="1" applyBorder="1">
      <alignment horizontal="left" vertical="top"/>
    </xf>
    <xf numFmtId="0" fontId="0" fillId="2" borderId="19" xfId="0" applyFill="1" applyBorder="1">
      <alignment horizontal="left" vertical="top"/>
    </xf>
    <xf numFmtId="0" fontId="7" fillId="2" borderId="1" xfId="0" applyFont="1" applyFill="1" applyBorder="1">
      <alignment horizontal="left" vertical="top"/>
    </xf>
    <xf numFmtId="49" fontId="0" fillId="2" borderId="20" xfId="0" applyNumberFormat="1" applyFill="1" applyBorder="1" applyAlignment="1">
      <alignment horizontal="left"/>
    </xf>
    <xf numFmtId="49" fontId="0" fillId="2" borderId="11" xfId="0" applyNumberFormat="1" applyFill="1" applyBorder="1" applyAlignment="1">
      <alignment horizontal="left" wrapText="1"/>
    </xf>
    <xf numFmtId="0" fontId="0" fillId="2" borderId="19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49" fontId="8" fillId="2" borderId="30" xfId="0" applyNumberFormat="1" applyFont="1" applyFill="1" applyBorder="1" applyAlignment="1">
      <alignment horizontal="left"/>
    </xf>
    <xf numFmtId="0" fontId="0" fillId="2" borderId="31" xfId="0" applyFill="1" applyBorder="1">
      <alignment horizontal="left" vertical="top"/>
    </xf>
    <xf numFmtId="0" fontId="0" fillId="2" borderId="32" xfId="0" applyFill="1" applyBorder="1">
      <alignment horizontal="left" vertical="top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2" borderId="3" xfId="0" applyFill="1" applyBorder="1">
      <alignment horizontal="left" vertical="top"/>
    </xf>
    <xf numFmtId="0" fontId="0" fillId="2" borderId="45" xfId="0" applyFill="1" applyBorder="1">
      <alignment horizontal="left" vertical="top"/>
    </xf>
    <xf numFmtId="49" fontId="9" fillId="2" borderId="46" xfId="0" applyNumberFormat="1" applyFont="1" applyFill="1" applyBorder="1" applyAlignment="1">
      <alignment horizontal="center" vertical="center" wrapText="1"/>
    </xf>
    <xf numFmtId="49" fontId="9" fillId="2" borderId="47" xfId="0" applyNumberFormat="1" applyFont="1" applyFill="1" applyBorder="1" applyAlignment="1">
      <alignment horizontal="center" vertical="center" wrapText="1"/>
    </xf>
    <xf numFmtId="0" fontId="0" fillId="2" borderId="49" xfId="0" applyFill="1" applyBorder="1">
      <alignment horizontal="left" vertical="top"/>
    </xf>
    <xf numFmtId="0" fontId="0" fillId="2" borderId="50" xfId="0" applyNumberFormat="1" applyFill="1" applyBorder="1">
      <alignment horizontal="left" vertical="top"/>
    </xf>
    <xf numFmtId="0" fontId="0" fillId="2" borderId="47" xfId="0" applyNumberFormat="1" applyFill="1" applyBorder="1" applyAlignment="1">
      <alignment vertical="top" wrapText="1"/>
    </xf>
    <xf numFmtId="164" fontId="0" fillId="2" borderId="47" xfId="0" applyNumberFormat="1" applyFill="1" applyBorder="1" applyAlignment="1">
      <alignment vertical="top" wrapText="1"/>
    </xf>
    <xf numFmtId="165" fontId="10" fillId="2" borderId="47" xfId="0" applyNumberFormat="1" applyFont="1" applyFill="1" applyBorder="1" applyAlignment="1">
      <alignment vertical="top" wrapText="1"/>
    </xf>
    <xf numFmtId="0" fontId="0" fillId="2" borderId="47" xfId="0" applyFill="1" applyBorder="1" applyAlignment="1">
      <alignment vertical="top" wrapText="1"/>
    </xf>
    <xf numFmtId="0" fontId="0" fillId="2" borderId="47" xfId="0" applyFill="1" applyBorder="1">
      <alignment horizontal="left" vertical="top"/>
    </xf>
    <xf numFmtId="165" fontId="0" fillId="2" borderId="47" xfId="0" applyNumberFormat="1" applyFill="1" applyBorder="1" applyAlignment="1">
      <alignment vertical="top" wrapText="1"/>
    </xf>
    <xf numFmtId="0" fontId="0" fillId="2" borderId="50" xfId="0" applyFill="1" applyBorder="1">
      <alignment horizontal="left" vertical="top"/>
    </xf>
    <xf numFmtId="0" fontId="0" fillId="2" borderId="47" xfId="0" applyFill="1" applyBorder="1" applyAlignment="1">
      <alignment horizontal="left" vertical="top" wrapText="1"/>
    </xf>
    <xf numFmtId="164" fontId="0" fillId="2" borderId="47" xfId="0" applyNumberFormat="1" applyFill="1" applyBorder="1" applyAlignment="1">
      <alignment horizontal="left" vertical="top" wrapText="1"/>
    </xf>
    <xf numFmtId="165" fontId="4" fillId="2" borderId="47" xfId="0" applyNumberFormat="1" applyFont="1" applyFill="1" applyBorder="1" applyAlignment="1">
      <alignment vertical="top" wrapText="1"/>
    </xf>
    <xf numFmtId="49" fontId="5" fillId="2" borderId="1" xfId="0" applyNumberFormat="1" applyFont="1" applyFill="1" applyBorder="1" applyAlignment="1"/>
    <xf numFmtId="0" fontId="5" fillId="2" borderId="1" xfId="0" applyFont="1" applyFill="1" applyBorder="1" applyAlignment="1"/>
    <xf numFmtId="49" fontId="0" fillId="2" borderId="1" xfId="0" applyNumberFormat="1" applyFill="1" applyBorder="1" applyAlignment="1"/>
    <xf numFmtId="0" fontId="0" fillId="2" borderId="1" xfId="0" applyFill="1" applyBorder="1" applyAlignment="1"/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>
      <alignment horizontal="left" vertical="top"/>
    </xf>
    <xf numFmtId="0" fontId="0" fillId="2" borderId="5" xfId="0" applyFill="1" applyBorder="1">
      <alignment horizontal="left" vertical="top"/>
    </xf>
    <xf numFmtId="49" fontId="1" fillId="2" borderId="7" xfId="0" applyNumberFormat="1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2" borderId="2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>
      <alignment horizontal="left"/>
    </xf>
    <xf numFmtId="49" fontId="5" fillId="2" borderId="7" xfId="0" applyNumberFormat="1" applyFont="1" applyFill="1" applyBorder="1">
      <alignment horizontal="left" vertical="top"/>
    </xf>
    <xf numFmtId="0" fontId="5" fillId="2" borderId="7" xfId="0" applyFont="1" applyFill="1" applyBorder="1">
      <alignment horizontal="left" vertical="top"/>
    </xf>
    <xf numFmtId="0" fontId="0" fillId="2" borderId="7" xfId="0" applyFill="1" applyBorder="1" applyAlignment="1">
      <alignment horizontal="center" vertical="top" wrapText="1"/>
    </xf>
    <xf numFmtId="49" fontId="0" fillId="2" borderId="8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4" borderId="12" xfId="0" applyFill="1" applyBorder="1" applyAlignment="1">
      <alignment horizontal="left" wrapText="1"/>
    </xf>
    <xf numFmtId="0" fontId="0" fillId="4" borderId="25" xfId="0" applyFill="1" applyBorder="1" applyAlignment="1">
      <alignment horizontal="left" wrapText="1"/>
    </xf>
    <xf numFmtId="49" fontId="0" fillId="2" borderId="8" xfId="0" applyNumberFormat="1" applyFill="1" applyBorder="1">
      <alignment horizontal="left" vertical="top"/>
    </xf>
    <xf numFmtId="0" fontId="0" fillId="2" borderId="8" xfId="0" applyFill="1" applyBorder="1">
      <alignment horizontal="left" vertical="top"/>
    </xf>
    <xf numFmtId="0" fontId="0" fillId="2" borderId="48" xfId="0" applyFill="1" applyBorder="1" applyAlignment="1">
      <alignment vertical="top" wrapText="1"/>
    </xf>
    <xf numFmtId="0" fontId="0" fillId="2" borderId="46" xfId="0" applyFill="1" applyBorder="1" applyAlignment="1">
      <alignment vertical="top" wrapText="1"/>
    </xf>
    <xf numFmtId="49" fontId="0" fillId="2" borderId="42" xfId="0" applyNumberFormat="1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44" xfId="0" applyFill="1" applyBorder="1" applyAlignment="1">
      <alignment horizontal="left"/>
    </xf>
    <xf numFmtId="49" fontId="8" fillId="2" borderId="39" xfId="0" applyNumberFormat="1" applyFont="1" applyFill="1" applyBorder="1" applyAlignment="1">
      <alignment horizontal="left" vertical="top" wrapText="1"/>
    </xf>
    <xf numFmtId="0" fontId="8" fillId="2" borderId="40" xfId="0" applyFont="1" applyFill="1" applyBorder="1" applyAlignment="1">
      <alignment horizontal="left" vertical="top" wrapText="1"/>
    </xf>
    <xf numFmtId="0" fontId="8" fillId="2" borderId="41" xfId="0" applyFont="1" applyFill="1" applyBorder="1" applyAlignment="1">
      <alignment horizontal="left" vertical="top" wrapText="1"/>
    </xf>
    <xf numFmtId="49" fontId="9" fillId="2" borderId="48" xfId="0" applyNumberFormat="1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0" fillId="2" borderId="48" xfId="0" applyNumberFormat="1" applyFill="1" applyBorder="1" applyAlignment="1">
      <alignment vertical="top" wrapText="1"/>
    </xf>
    <xf numFmtId="49" fontId="4" fillId="2" borderId="48" xfId="0" applyNumberFormat="1" applyFont="1" applyFill="1" applyBorder="1" applyAlignment="1">
      <alignment horizontal="right" wrapText="1"/>
    </xf>
    <xf numFmtId="0" fontId="4" fillId="2" borderId="46" xfId="0" applyFont="1" applyFill="1" applyBorder="1" applyAlignment="1">
      <alignment horizontal="right" wrapText="1"/>
    </xf>
    <xf numFmtId="49" fontId="0" fillId="2" borderId="48" xfId="0" applyNumberFormat="1" applyFill="1" applyBorder="1" applyAlignment="1">
      <alignment horizontal="right" vertical="top" wrapText="1"/>
    </xf>
    <xf numFmtId="0" fontId="0" fillId="2" borderId="46" xfId="0" applyFill="1" applyBorder="1" applyAlignment="1">
      <alignment horizontal="right" vertical="top" wrapText="1"/>
    </xf>
    <xf numFmtId="0" fontId="0" fillId="2" borderId="48" xfId="0" applyFill="1" applyBorder="1" applyAlignment="1">
      <alignment horizontal="left" vertical="top" wrapText="1"/>
    </xf>
    <xf numFmtId="0" fontId="0" fillId="2" borderId="46" xfId="0" applyFill="1" applyBorder="1" applyAlignment="1">
      <alignment horizontal="left" vertical="top" wrapText="1"/>
    </xf>
    <xf numFmtId="49" fontId="0" fillId="4" borderId="4" xfId="0" applyNumberFormat="1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49" fontId="0" fillId="4" borderId="12" xfId="0" applyNumberFormat="1" applyFill="1" applyBorder="1" applyAlignment="1">
      <alignment horizontal="left" wrapText="1"/>
    </xf>
    <xf numFmtId="49" fontId="0" fillId="2" borderId="33" xfId="0" applyNumberFormat="1" applyFill="1" applyBorder="1" applyAlignment="1">
      <alignment horizontal="left" vertical="top" wrapText="1"/>
    </xf>
    <xf numFmtId="0" fontId="0" fillId="2" borderId="34" xfId="0" applyFill="1" applyBorder="1" applyAlignment="1">
      <alignment horizontal="left" vertical="top" wrapText="1"/>
    </xf>
    <xf numFmtId="0" fontId="0" fillId="2" borderId="35" xfId="0" applyFill="1" applyBorder="1" applyAlignment="1">
      <alignment horizontal="left" vertical="top" wrapText="1"/>
    </xf>
    <xf numFmtId="49" fontId="0" fillId="2" borderId="23" xfId="0" applyNumberFormat="1" applyFill="1" applyBorder="1" applyAlignment="1">
      <alignment horizontal="left" wrapText="1"/>
    </xf>
    <xf numFmtId="0" fontId="0" fillId="2" borderId="24" xfId="0" applyFill="1" applyBorder="1" applyAlignment="1">
      <alignment horizontal="left" wrapText="1"/>
    </xf>
    <xf numFmtId="0" fontId="0" fillId="2" borderId="2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0" fillId="2" borderId="48" xfId="0" applyNumberFormat="1" applyFill="1" applyBorder="1" applyAlignment="1">
      <alignment vertical="top" wrapText="1"/>
    </xf>
    <xf numFmtId="14" fontId="0" fillId="4" borderId="4" xfId="0" applyNumberFormat="1" applyFill="1" applyBorder="1" applyAlignment="1">
      <alignment horizontal="left" wrapText="1"/>
    </xf>
    <xf numFmtId="49" fontId="5" fillId="2" borderId="15" xfId="0" applyNumberFormat="1" applyFont="1" applyFill="1" applyBorder="1" applyAlignment="1">
      <alignment horizontal="left" wrapText="1"/>
    </xf>
    <xf numFmtId="0" fontId="5" fillId="2" borderId="16" xfId="0" applyFont="1" applyFill="1" applyBorder="1" applyAlignment="1">
      <alignment horizontal="left" wrapText="1"/>
    </xf>
    <xf numFmtId="0" fontId="5" fillId="2" borderId="17" xfId="0" applyFont="1" applyFill="1" applyBorder="1" applyAlignment="1">
      <alignment horizontal="left" wrapText="1"/>
    </xf>
    <xf numFmtId="0" fontId="5" fillId="2" borderId="18" xfId="0" applyFont="1" applyFill="1" applyBorder="1" applyAlignment="1">
      <alignment horizontal="left" wrapText="1"/>
    </xf>
    <xf numFmtId="49" fontId="0" fillId="2" borderId="10" xfId="0" applyNumberFormat="1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2" borderId="26" xfId="0" applyFill="1" applyBorder="1">
      <alignment horizontal="left" vertical="top"/>
    </xf>
    <xf numFmtId="0" fontId="0" fillId="2" borderId="27" xfId="0" applyFill="1" applyBorder="1">
      <alignment horizontal="left" vertical="top"/>
    </xf>
    <xf numFmtId="0" fontId="0" fillId="2" borderId="28" xfId="0" applyFill="1" applyBorder="1">
      <alignment horizontal="left" vertical="top"/>
    </xf>
    <xf numFmtId="0" fontId="0" fillId="2" borderId="29" xfId="0" applyFill="1" applyBorder="1">
      <alignment horizontal="left" vertical="top"/>
    </xf>
    <xf numFmtId="0" fontId="0" fillId="2" borderId="13" xfId="0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2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BE5F1"/>
      <rgbColor rgb="FFDAEEF3"/>
      <rgbColor rgb="FF0000FF"/>
      <rgbColor rgb="FF22222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s.store.bambulab.com/" TargetMode="External"/><Relationship Id="rId2" Type="http://schemas.openxmlformats.org/officeDocument/2006/relationships/hyperlink" Target="mailto:henjones1111@gmail.com" TargetMode="External"/><Relationship Id="rId1" Type="http://schemas.openxmlformats.org/officeDocument/2006/relationships/hyperlink" Target="mailto:henjones1111@gmail.com" TargetMode="External"/><Relationship Id="rId4" Type="http://schemas.openxmlformats.org/officeDocument/2006/relationships/hyperlink" Target="https://us.store.bambulab.com/products/pla-aero?srsltid=AfmBOorA5miyQa3QkEM89_jzQ4vMh0O00_CfJmPwRMYMZ_PWfhE8CZt-&amp;id=412382966252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activeCell="I32" sqref="I32"/>
    </sheetView>
  </sheetViews>
  <sheetFormatPr defaultColWidth="9.3984375" defaultRowHeight="13.2" customHeight="1" x14ac:dyDescent="0.4"/>
  <cols>
    <col min="1" max="1" width="3.59765625" style="1" customWidth="1"/>
    <col min="2" max="2" width="8" style="1" customWidth="1"/>
    <col min="3" max="3" width="9.59765625" style="1" customWidth="1"/>
    <col min="4" max="5" width="12.59765625" style="1" customWidth="1"/>
    <col min="6" max="6" width="3" style="1" customWidth="1"/>
    <col min="7" max="7" width="16.796875" style="1" customWidth="1"/>
    <col min="8" max="8" width="35.59765625" style="1" customWidth="1"/>
    <col min="9" max="9" width="12.59765625" style="1" customWidth="1"/>
    <col min="10" max="10" width="8" style="1" customWidth="1"/>
    <col min="11" max="12" width="9.3984375" style="1" customWidth="1"/>
    <col min="13" max="16384" width="9.3984375" style="1"/>
  </cols>
  <sheetData>
    <row r="1" spans="1:11" ht="30.95" customHeight="1" x14ac:dyDescent="0.65">
      <c r="A1" s="2"/>
      <c r="B1" s="121" t="s">
        <v>0</v>
      </c>
      <c r="C1" s="122"/>
      <c r="D1" s="122"/>
      <c r="E1" s="122"/>
      <c r="F1" s="122"/>
      <c r="G1" s="122"/>
      <c r="H1" s="122"/>
      <c r="I1" s="122"/>
      <c r="J1" s="2"/>
      <c r="K1" s="2"/>
    </row>
    <row r="2" spans="1:11" ht="21" customHeight="1" x14ac:dyDescent="0.5">
      <c r="A2" s="2"/>
      <c r="B2" s="102" t="s">
        <v>1</v>
      </c>
      <c r="C2" s="122"/>
      <c r="D2" s="122"/>
      <c r="E2" s="122"/>
      <c r="F2" s="122"/>
      <c r="G2" s="122"/>
      <c r="H2" s="122"/>
      <c r="I2" s="122"/>
      <c r="J2" s="2"/>
      <c r="K2" s="2"/>
    </row>
    <row r="3" spans="1:11" ht="12" customHeight="1" x14ac:dyDescent="0.4">
      <c r="A3" s="2"/>
      <c r="B3" s="3"/>
      <c r="C3" s="2"/>
      <c r="D3" s="2"/>
      <c r="E3" s="2"/>
      <c r="F3" s="57"/>
      <c r="G3" s="2"/>
      <c r="H3" s="2"/>
      <c r="I3" s="2"/>
      <c r="J3" s="2"/>
      <c r="K3" s="2"/>
    </row>
    <row r="4" spans="1:11" ht="15" customHeight="1" x14ac:dyDescent="0.4">
      <c r="A4" s="2"/>
      <c r="B4" s="51" t="s">
        <v>2</v>
      </c>
      <c r="C4" s="52"/>
      <c r="D4" s="52"/>
      <c r="E4" s="52"/>
      <c r="F4" s="57"/>
      <c r="G4" s="51" t="s">
        <v>3</v>
      </c>
      <c r="H4" s="52"/>
      <c r="I4" s="52"/>
      <c r="J4" s="2"/>
      <c r="K4" s="2"/>
    </row>
    <row r="5" spans="1:11" ht="15" customHeight="1" x14ac:dyDescent="0.4">
      <c r="A5" s="2"/>
      <c r="B5" s="53" t="s">
        <v>4</v>
      </c>
      <c r="C5" s="54"/>
      <c r="D5" s="54"/>
      <c r="E5" s="61"/>
      <c r="F5" s="57"/>
      <c r="G5" s="53" t="s">
        <v>5</v>
      </c>
      <c r="H5" s="54"/>
      <c r="I5" s="54"/>
      <c r="J5" s="2"/>
      <c r="K5" s="2"/>
    </row>
    <row r="6" spans="1:11" ht="16.95" customHeight="1" x14ac:dyDescent="0.4">
      <c r="A6" s="2"/>
      <c r="B6" s="4" t="s">
        <v>6</v>
      </c>
      <c r="C6" s="5"/>
      <c r="D6" s="6"/>
      <c r="E6" s="7" t="s">
        <v>7</v>
      </c>
      <c r="F6" s="58"/>
      <c r="G6" s="53" t="s">
        <v>8</v>
      </c>
      <c r="H6" s="54"/>
      <c r="I6" s="54"/>
      <c r="J6" s="2"/>
      <c r="K6" s="2"/>
    </row>
    <row r="7" spans="1:11" ht="16.95" customHeight="1" x14ac:dyDescent="0.4">
      <c r="A7" s="2"/>
      <c r="B7" s="53" t="s">
        <v>9</v>
      </c>
      <c r="C7" s="61"/>
      <c r="D7" s="61"/>
      <c r="E7" s="62"/>
      <c r="F7" s="57"/>
      <c r="G7" s="55" t="s">
        <v>10</v>
      </c>
      <c r="H7" s="56"/>
      <c r="I7" s="56"/>
      <c r="J7" s="2"/>
      <c r="K7" s="2"/>
    </row>
    <row r="8" spans="1:11" ht="15" customHeight="1" x14ac:dyDescent="0.4">
      <c r="A8" s="2"/>
      <c r="B8" s="11" t="s">
        <v>11</v>
      </c>
      <c r="C8" s="12" t="s">
        <v>12</v>
      </c>
      <c r="D8" s="13"/>
      <c r="E8" s="13"/>
      <c r="F8" s="58"/>
      <c r="G8" s="54"/>
      <c r="H8" s="54"/>
      <c r="I8" s="54"/>
      <c r="J8" s="2"/>
      <c r="K8" s="2"/>
    </row>
    <row r="9" spans="1:11" ht="15" customHeight="1" x14ac:dyDescent="0.4">
      <c r="A9" s="2"/>
      <c r="B9" s="5"/>
      <c r="C9" s="59" t="s">
        <v>13</v>
      </c>
      <c r="D9" s="60"/>
      <c r="E9" s="60"/>
      <c r="F9" s="57"/>
      <c r="G9" s="54"/>
      <c r="H9" s="54"/>
      <c r="I9" s="54"/>
      <c r="J9" s="2"/>
      <c r="K9" s="2"/>
    </row>
    <row r="10" spans="1:11" ht="20.100000000000001" customHeight="1" x14ac:dyDescent="0.5">
      <c r="A10" s="2"/>
      <c r="B10" s="102" t="s">
        <v>14</v>
      </c>
      <c r="C10" s="103"/>
      <c r="D10" s="104"/>
      <c r="E10" s="104"/>
      <c r="F10" s="103"/>
      <c r="G10" s="103"/>
      <c r="H10" s="104"/>
      <c r="I10" s="104"/>
      <c r="J10" s="2"/>
      <c r="K10" s="2"/>
    </row>
    <row r="11" spans="1:11" ht="15" customHeight="1" x14ac:dyDescent="0.4">
      <c r="A11" s="2"/>
      <c r="B11" s="14" t="s">
        <v>15</v>
      </c>
      <c r="C11" s="15"/>
      <c r="D11" s="90" t="s">
        <v>16</v>
      </c>
      <c r="E11" s="91"/>
      <c r="F11" s="16"/>
      <c r="G11" s="17" t="s">
        <v>17</v>
      </c>
      <c r="H11" s="106">
        <v>46189</v>
      </c>
      <c r="I11" s="91"/>
      <c r="J11" s="8"/>
      <c r="K11" s="2"/>
    </row>
    <row r="12" spans="1:11" ht="15" customHeight="1" x14ac:dyDescent="0.4">
      <c r="A12" s="2"/>
      <c r="B12" s="18" t="s">
        <v>18</v>
      </c>
      <c r="C12" s="19"/>
      <c r="D12" s="92" t="s">
        <v>19</v>
      </c>
      <c r="E12" s="69"/>
      <c r="F12" s="16"/>
      <c r="G12" s="20" t="s">
        <v>20</v>
      </c>
      <c r="H12" s="69"/>
      <c r="I12" s="69"/>
      <c r="J12" s="8"/>
      <c r="K12" s="2"/>
    </row>
    <row r="13" spans="1:11" ht="15" customHeight="1" x14ac:dyDescent="0.4">
      <c r="A13" s="2"/>
      <c r="B13" s="111" t="s">
        <v>21</v>
      </c>
      <c r="C13" s="112"/>
      <c r="D13" s="92" t="s">
        <v>22</v>
      </c>
      <c r="E13" s="69"/>
      <c r="F13" s="16"/>
      <c r="G13" s="20" t="s">
        <v>23</v>
      </c>
      <c r="H13" s="92" t="s">
        <v>24</v>
      </c>
      <c r="I13" s="69"/>
      <c r="J13" s="8"/>
      <c r="K13" s="2"/>
    </row>
    <row r="14" spans="1:11" ht="15" customHeight="1" x14ac:dyDescent="0.4">
      <c r="A14" s="2"/>
      <c r="B14" s="111" t="s">
        <v>25</v>
      </c>
      <c r="C14" s="112"/>
      <c r="D14" s="92" t="s">
        <v>26</v>
      </c>
      <c r="E14" s="69"/>
      <c r="F14" s="16"/>
      <c r="G14" s="100" t="s">
        <v>27</v>
      </c>
      <c r="H14" s="101"/>
      <c r="I14" s="101"/>
      <c r="J14" s="2"/>
      <c r="K14" s="2"/>
    </row>
    <row r="15" spans="1:11" ht="9.9499999999999993" customHeight="1" x14ac:dyDescent="0.4">
      <c r="A15" s="2"/>
      <c r="B15" s="63"/>
      <c r="C15" s="63"/>
      <c r="D15" s="63"/>
      <c r="E15" s="63"/>
      <c r="F15" s="56"/>
      <c r="G15" s="63"/>
      <c r="H15" s="63"/>
      <c r="I15" s="63"/>
      <c r="J15" s="2"/>
      <c r="K15" s="2"/>
    </row>
    <row r="16" spans="1:11" ht="13.6" customHeight="1" x14ac:dyDescent="0.4">
      <c r="A16" s="2"/>
      <c r="B16" s="21" t="s">
        <v>28</v>
      </c>
      <c r="C16" s="10"/>
      <c r="D16" s="10"/>
      <c r="E16" s="10"/>
      <c r="F16" s="10"/>
      <c r="G16" s="9" t="s">
        <v>29</v>
      </c>
      <c r="H16" s="55" t="s">
        <v>30</v>
      </c>
      <c r="I16" s="56"/>
      <c r="J16" s="2"/>
      <c r="K16" s="2"/>
    </row>
    <row r="17" spans="1:11" ht="9.9499999999999993" customHeight="1" x14ac:dyDescent="0.4">
      <c r="A17" s="2"/>
      <c r="B17" s="117"/>
      <c r="C17" s="117"/>
      <c r="D17" s="117"/>
      <c r="E17" s="117"/>
      <c r="F17" s="117"/>
      <c r="G17" s="117"/>
      <c r="H17" s="117"/>
      <c r="I17" s="117"/>
      <c r="J17" s="2"/>
      <c r="K17" s="2"/>
    </row>
    <row r="18" spans="1:11" ht="13.5" customHeight="1" x14ac:dyDescent="0.4">
      <c r="A18" s="22"/>
      <c r="B18" s="107" t="s">
        <v>31</v>
      </c>
      <c r="C18" s="108"/>
      <c r="D18" s="109"/>
      <c r="E18" s="109"/>
      <c r="F18" s="108"/>
      <c r="G18" s="109"/>
      <c r="H18" s="109"/>
      <c r="I18" s="110"/>
      <c r="J18" s="23"/>
      <c r="K18" s="24"/>
    </row>
    <row r="19" spans="1:11" ht="18" customHeight="1" x14ac:dyDescent="0.4">
      <c r="A19" s="22"/>
      <c r="B19" s="25" t="s">
        <v>32</v>
      </c>
      <c r="C19" s="15"/>
      <c r="D19" s="90" t="s">
        <v>33</v>
      </c>
      <c r="E19" s="91"/>
      <c r="F19" s="98"/>
      <c r="G19" s="118" t="s">
        <v>34</v>
      </c>
      <c r="H19" s="119"/>
      <c r="I19" s="120"/>
      <c r="J19" s="23"/>
      <c r="K19" s="24"/>
    </row>
    <row r="20" spans="1:11" ht="15" customHeight="1" x14ac:dyDescent="0.4">
      <c r="A20" s="22"/>
      <c r="B20" s="96" t="s">
        <v>35</v>
      </c>
      <c r="C20" s="97"/>
      <c r="D20" s="69"/>
      <c r="E20" s="69"/>
      <c r="F20" s="99"/>
      <c r="G20" s="26" t="s">
        <v>36</v>
      </c>
      <c r="H20" s="92" t="s">
        <v>37</v>
      </c>
      <c r="I20" s="70"/>
      <c r="J20" s="23"/>
      <c r="K20" s="2"/>
    </row>
    <row r="21" spans="1:11" ht="15" customHeight="1" x14ac:dyDescent="0.4">
      <c r="A21" s="22"/>
      <c r="B21" s="27"/>
      <c r="C21" s="28"/>
      <c r="D21" s="69"/>
      <c r="E21" s="69"/>
      <c r="F21" s="99"/>
      <c r="G21" s="20" t="s">
        <v>38</v>
      </c>
      <c r="H21" s="69"/>
      <c r="I21" s="70"/>
      <c r="J21" s="23"/>
      <c r="K21" s="2"/>
    </row>
    <row r="22" spans="1:11" ht="18" customHeight="1" x14ac:dyDescent="0.4">
      <c r="A22" s="22"/>
      <c r="B22" s="25" t="s">
        <v>39</v>
      </c>
      <c r="C22" s="15"/>
      <c r="D22" s="69"/>
      <c r="E22" s="69"/>
      <c r="F22" s="99"/>
      <c r="G22" s="20" t="s">
        <v>40</v>
      </c>
      <c r="H22" s="69"/>
      <c r="I22" s="70"/>
      <c r="J22" s="23"/>
      <c r="K22" s="2"/>
    </row>
    <row r="23" spans="1:11" ht="9.9499999999999993" customHeight="1" x14ac:dyDescent="0.4">
      <c r="A23" s="22"/>
      <c r="B23" s="113"/>
      <c r="C23" s="114"/>
      <c r="D23" s="114"/>
      <c r="E23" s="114"/>
      <c r="F23" s="115"/>
      <c r="G23" s="114"/>
      <c r="H23" s="114"/>
      <c r="I23" s="116"/>
      <c r="J23" s="23"/>
      <c r="K23" s="2"/>
    </row>
    <row r="24" spans="1:11" ht="15" customHeight="1" x14ac:dyDescent="0.35">
      <c r="A24" s="22"/>
      <c r="B24" s="29" t="s">
        <v>41</v>
      </c>
      <c r="C24" s="30"/>
      <c r="D24" s="30"/>
      <c r="E24" s="30"/>
      <c r="F24" s="30"/>
      <c r="G24" s="30"/>
      <c r="H24" s="30"/>
      <c r="I24" s="31"/>
      <c r="J24" s="23"/>
      <c r="K24" s="2"/>
    </row>
    <row r="25" spans="1:11" ht="15" customHeight="1" x14ac:dyDescent="0.4">
      <c r="A25" s="22"/>
      <c r="B25" s="93" t="s">
        <v>42</v>
      </c>
      <c r="C25" s="94"/>
      <c r="D25" s="94"/>
      <c r="E25" s="94"/>
      <c r="F25" s="94"/>
      <c r="G25" s="94"/>
      <c r="H25" s="94"/>
      <c r="I25" s="95"/>
      <c r="J25" s="23"/>
      <c r="K25" s="2"/>
    </row>
    <row r="26" spans="1:11" ht="9.9499999999999993" customHeight="1" x14ac:dyDescent="0.4">
      <c r="A26" s="22"/>
      <c r="B26" s="32"/>
      <c r="C26" s="33"/>
      <c r="D26" s="33"/>
      <c r="E26" s="33"/>
      <c r="F26" s="33"/>
      <c r="G26" s="33"/>
      <c r="H26" s="33"/>
      <c r="I26" s="34"/>
      <c r="J26" s="23"/>
      <c r="K26" s="2"/>
    </row>
    <row r="27" spans="1:11" ht="14.1" customHeight="1" x14ac:dyDescent="0.4">
      <c r="A27" s="22"/>
      <c r="B27" s="78" t="s">
        <v>43</v>
      </c>
      <c r="C27" s="79"/>
      <c r="D27" s="79"/>
      <c r="E27" s="79"/>
      <c r="F27" s="79"/>
      <c r="G27" s="79"/>
      <c r="H27" s="79"/>
      <c r="I27" s="80"/>
      <c r="J27" s="23"/>
      <c r="K27" s="2"/>
    </row>
    <row r="28" spans="1:11" ht="15" customHeight="1" x14ac:dyDescent="0.4">
      <c r="A28" s="22"/>
      <c r="B28" s="75" t="s">
        <v>44</v>
      </c>
      <c r="C28" s="76"/>
      <c r="D28" s="76"/>
      <c r="E28" s="76"/>
      <c r="F28" s="76"/>
      <c r="G28" s="76"/>
      <c r="H28" s="76"/>
      <c r="I28" s="77"/>
      <c r="J28" s="23"/>
      <c r="K28" s="2"/>
    </row>
    <row r="29" spans="1:11" ht="9.9499999999999993" customHeight="1" x14ac:dyDescent="0.4">
      <c r="A29" s="35"/>
      <c r="B29" s="36"/>
      <c r="C29" s="36"/>
      <c r="D29" s="36"/>
      <c r="E29" s="36"/>
      <c r="F29" s="36"/>
      <c r="G29" s="36"/>
      <c r="H29" s="36"/>
      <c r="I29" s="36"/>
      <c r="J29" s="8"/>
      <c r="K29" s="2"/>
    </row>
    <row r="30" spans="1:11" ht="12.95" customHeight="1" x14ac:dyDescent="0.4">
      <c r="A30" s="2"/>
      <c r="B30" s="37" t="s">
        <v>45</v>
      </c>
      <c r="C30" s="38" t="s">
        <v>46</v>
      </c>
      <c r="D30" s="38" t="s">
        <v>47</v>
      </c>
      <c r="E30" s="81" t="s">
        <v>48</v>
      </c>
      <c r="F30" s="82"/>
      <c r="G30" s="81" t="s">
        <v>49</v>
      </c>
      <c r="H30" s="82"/>
      <c r="I30" s="38" t="s">
        <v>50</v>
      </c>
      <c r="J30" s="39"/>
      <c r="K30" s="2"/>
    </row>
    <row r="31" spans="1:11" ht="12.95" customHeight="1" x14ac:dyDescent="0.4">
      <c r="A31" s="40">
        <v>1</v>
      </c>
      <c r="B31" s="41">
        <v>2</v>
      </c>
      <c r="C31" s="41">
        <v>1</v>
      </c>
      <c r="D31" s="42">
        <v>38.24</v>
      </c>
      <c r="E31" s="83">
        <v>14104</v>
      </c>
      <c r="F31" s="74"/>
      <c r="G31" s="105" t="s">
        <v>57</v>
      </c>
      <c r="H31" s="74"/>
      <c r="I31" s="43">
        <f>D31*B31</f>
        <v>76.48</v>
      </c>
      <c r="J31" s="39"/>
      <c r="K31" s="2"/>
    </row>
    <row r="32" spans="1:11" ht="12.95" customHeight="1" x14ac:dyDescent="0.4">
      <c r="A32" s="40" cm="1">
        <f t="array" ref="A32">1+A31</f>
        <v>2</v>
      </c>
      <c r="B32" s="44"/>
      <c r="C32" s="45"/>
      <c r="D32" s="42"/>
      <c r="E32" s="73"/>
      <c r="F32" s="74"/>
      <c r="G32" s="73"/>
      <c r="H32" s="74"/>
      <c r="I32" s="43"/>
      <c r="J32" s="39"/>
      <c r="K32" s="2"/>
    </row>
    <row r="33" spans="1:11" ht="15" customHeight="1" x14ac:dyDescent="0.4">
      <c r="A33" s="40" cm="1">
        <f t="array" ref="A33">1+A32</f>
        <v>3</v>
      </c>
      <c r="B33" s="44"/>
      <c r="C33" s="44"/>
      <c r="D33" s="42"/>
      <c r="E33" s="73"/>
      <c r="F33" s="74"/>
      <c r="G33" s="73"/>
      <c r="H33" s="74"/>
      <c r="I33" s="43"/>
      <c r="J33" s="39"/>
      <c r="K33" s="2"/>
    </row>
    <row r="34" spans="1:11" ht="15" customHeight="1" x14ac:dyDescent="0.4">
      <c r="A34" s="40" cm="1">
        <f t="array" ref="A34">1+A33</f>
        <v>4</v>
      </c>
      <c r="B34" s="44"/>
      <c r="C34" s="44"/>
      <c r="D34" s="42"/>
      <c r="E34" s="73"/>
      <c r="F34" s="74"/>
      <c r="G34" s="73"/>
      <c r="H34" s="74"/>
      <c r="I34" s="43"/>
      <c r="J34" s="39"/>
      <c r="K34" s="2"/>
    </row>
    <row r="35" spans="1:11" ht="15" customHeight="1" x14ac:dyDescent="0.4">
      <c r="A35" s="40" cm="1">
        <f t="array" ref="A35">1+A34</f>
        <v>5</v>
      </c>
      <c r="B35" s="44"/>
      <c r="C35" s="44"/>
      <c r="D35" s="42"/>
      <c r="E35" s="73"/>
      <c r="F35" s="74"/>
      <c r="G35" s="73"/>
      <c r="H35" s="74"/>
      <c r="I35" s="43"/>
      <c r="J35" s="39"/>
      <c r="K35" s="2"/>
    </row>
    <row r="36" spans="1:11" ht="15" customHeight="1" x14ac:dyDescent="0.4">
      <c r="A36" s="40" cm="1">
        <f t="array" ref="A36">1+A35</f>
        <v>6</v>
      </c>
      <c r="B36" s="44"/>
      <c r="C36" s="44"/>
      <c r="D36" s="42"/>
      <c r="E36" s="73"/>
      <c r="F36" s="74"/>
      <c r="G36" s="73"/>
      <c r="H36" s="74"/>
      <c r="I36" s="43"/>
      <c r="J36" s="39"/>
      <c r="K36" s="2"/>
    </row>
    <row r="37" spans="1:11" ht="15" customHeight="1" x14ac:dyDescent="0.4">
      <c r="A37" s="40" cm="1">
        <f t="array" ref="A37">1+A36</f>
        <v>7</v>
      </c>
      <c r="B37" s="44"/>
      <c r="C37" s="44"/>
      <c r="D37" s="42"/>
      <c r="E37" s="73"/>
      <c r="F37" s="74"/>
      <c r="G37" s="73"/>
      <c r="H37" s="74"/>
      <c r="I37" s="43"/>
      <c r="J37" s="39"/>
      <c r="K37" s="2"/>
    </row>
    <row r="38" spans="1:11" ht="15" customHeight="1" x14ac:dyDescent="0.4">
      <c r="A38" s="40" cm="1">
        <f t="array" ref="A38">1+A37</f>
        <v>8</v>
      </c>
      <c r="B38" s="44"/>
      <c r="C38" s="44"/>
      <c r="D38" s="42"/>
      <c r="E38" s="73"/>
      <c r="F38" s="74"/>
      <c r="G38" s="73"/>
      <c r="H38" s="74"/>
      <c r="I38" s="43"/>
      <c r="J38" s="39"/>
      <c r="K38" s="2"/>
    </row>
    <row r="39" spans="1:11" ht="15" customHeight="1" x14ac:dyDescent="0.4">
      <c r="A39" s="40" cm="1">
        <f t="array" ref="A39">1+A38</f>
        <v>9</v>
      </c>
      <c r="B39" s="44"/>
      <c r="C39" s="44"/>
      <c r="D39" s="42"/>
      <c r="E39" s="73"/>
      <c r="F39" s="74"/>
      <c r="G39" s="73"/>
      <c r="H39" s="74"/>
      <c r="I39" s="46"/>
      <c r="J39" s="39"/>
      <c r="K39" s="2"/>
    </row>
    <row r="40" spans="1:11" ht="15" customHeight="1" x14ac:dyDescent="0.4">
      <c r="A40" s="40" cm="1">
        <f t="array" ref="A40">1+A39</f>
        <v>10</v>
      </c>
      <c r="B40" s="44"/>
      <c r="C40" s="44"/>
      <c r="D40" s="42"/>
      <c r="E40" s="73"/>
      <c r="F40" s="74"/>
      <c r="G40" s="73"/>
      <c r="H40" s="74"/>
      <c r="I40" s="46"/>
      <c r="J40" s="39"/>
      <c r="K40" s="2"/>
    </row>
    <row r="41" spans="1:11" ht="15" customHeight="1" x14ac:dyDescent="0.4">
      <c r="A41" s="40" cm="1">
        <f t="array" ref="A41">1+A40</f>
        <v>11</v>
      </c>
      <c r="B41" s="44"/>
      <c r="C41" s="44"/>
      <c r="D41" s="42"/>
      <c r="E41" s="73"/>
      <c r="F41" s="74"/>
      <c r="G41" s="73"/>
      <c r="H41" s="74"/>
      <c r="I41" s="46"/>
      <c r="J41" s="39"/>
      <c r="K41" s="2"/>
    </row>
    <row r="42" spans="1:11" ht="15" customHeight="1" x14ac:dyDescent="0.4">
      <c r="A42" s="40" cm="1">
        <f t="array" ref="A42">1+A41</f>
        <v>12</v>
      </c>
      <c r="B42" s="44"/>
      <c r="C42" s="44"/>
      <c r="D42" s="42"/>
      <c r="E42" s="73"/>
      <c r="F42" s="74"/>
      <c r="G42" s="73"/>
      <c r="H42" s="74"/>
      <c r="I42" s="46"/>
      <c r="J42" s="39"/>
      <c r="K42" s="2"/>
    </row>
    <row r="43" spans="1:11" ht="15" customHeight="1" x14ac:dyDescent="0.4">
      <c r="A43" s="40" cm="1">
        <f t="array" ref="A43">1+A42</f>
        <v>13</v>
      </c>
      <c r="B43" s="44"/>
      <c r="C43" s="44"/>
      <c r="D43" s="42"/>
      <c r="E43" s="73"/>
      <c r="F43" s="74"/>
      <c r="G43" s="73"/>
      <c r="H43" s="74"/>
      <c r="I43" s="46"/>
      <c r="J43" s="39"/>
      <c r="K43" s="2"/>
    </row>
    <row r="44" spans="1:11" ht="15" customHeight="1" x14ac:dyDescent="0.4">
      <c r="A44" s="40" cm="1">
        <f t="array" ref="A44">1+A43</f>
        <v>14</v>
      </c>
      <c r="B44" s="44"/>
      <c r="C44" s="44"/>
      <c r="D44" s="42"/>
      <c r="E44" s="73"/>
      <c r="F44" s="74"/>
      <c r="G44" s="73"/>
      <c r="H44" s="74"/>
      <c r="I44" s="46"/>
      <c r="J44" s="39"/>
      <c r="K44" s="2"/>
    </row>
    <row r="45" spans="1:11" ht="15" customHeight="1" x14ac:dyDescent="0.4">
      <c r="A45" s="47"/>
      <c r="B45" s="48"/>
      <c r="C45" s="48"/>
      <c r="D45" s="49"/>
      <c r="E45" s="88"/>
      <c r="F45" s="89"/>
      <c r="G45" s="86" t="s">
        <v>51</v>
      </c>
      <c r="H45" s="87"/>
      <c r="I45" s="46">
        <v>6.99</v>
      </c>
      <c r="J45" s="39"/>
      <c r="K45" s="2"/>
    </row>
    <row r="46" spans="1:11" ht="15" customHeight="1" x14ac:dyDescent="0.4">
      <c r="A46" s="47"/>
      <c r="B46" s="48"/>
      <c r="C46" s="48"/>
      <c r="D46" s="49"/>
      <c r="E46" s="88"/>
      <c r="F46" s="89"/>
      <c r="G46" s="86" t="s">
        <v>52</v>
      </c>
      <c r="H46" s="87"/>
      <c r="I46" s="46" cm="1">
        <f t="array" ref="I46">SUM(I31:I45)*0.095</f>
        <v>7.9296499999999996</v>
      </c>
      <c r="J46" s="39"/>
      <c r="K46" s="2"/>
    </row>
    <row r="47" spans="1:11" ht="15" customHeight="1" x14ac:dyDescent="0.4">
      <c r="A47" s="47"/>
      <c r="B47" s="48"/>
      <c r="C47" s="48"/>
      <c r="D47" s="49"/>
      <c r="E47" s="88"/>
      <c r="F47" s="89"/>
      <c r="G47" s="84" t="s">
        <v>53</v>
      </c>
      <c r="H47" s="85"/>
      <c r="I47" s="50" cm="1">
        <f t="array" ref="I47">SUM(I31:I46)</f>
        <v>91.399649999999994</v>
      </c>
      <c r="J47" s="39"/>
      <c r="K47" s="2"/>
    </row>
    <row r="48" spans="1:11" ht="15" customHeight="1" x14ac:dyDescent="0.4">
      <c r="A48" s="2"/>
      <c r="B48" s="66"/>
      <c r="C48" s="66"/>
      <c r="D48" s="66"/>
      <c r="E48" s="66"/>
      <c r="F48" s="66"/>
      <c r="G48" s="66"/>
      <c r="H48" s="66"/>
      <c r="I48" s="66"/>
      <c r="J48" s="2"/>
      <c r="K48" s="2"/>
    </row>
    <row r="49" spans="1:11" ht="15" customHeight="1" x14ac:dyDescent="0.4">
      <c r="A49" s="2"/>
      <c r="B49" s="67" t="s">
        <v>54</v>
      </c>
      <c r="C49" s="68"/>
      <c r="D49" s="68"/>
      <c r="E49" s="68"/>
      <c r="F49" s="2"/>
      <c r="G49" s="71" t="s">
        <v>55</v>
      </c>
      <c r="H49" s="72"/>
      <c r="I49" s="72"/>
      <c r="J49" s="2"/>
      <c r="K49" s="2"/>
    </row>
    <row r="50" spans="1:11" ht="15" customHeight="1" x14ac:dyDescent="0.4">
      <c r="A50" s="2"/>
      <c r="B50" s="63"/>
      <c r="C50" s="63"/>
      <c r="D50" s="63"/>
      <c r="E50" s="63"/>
      <c r="F50" s="2"/>
      <c r="G50" s="64" t="s">
        <v>56</v>
      </c>
      <c r="H50" s="65"/>
      <c r="I50" s="65"/>
      <c r="J50" s="2"/>
      <c r="K50" s="2"/>
    </row>
  </sheetData>
  <mergeCells count="83">
    <mergeCell ref="B1:I1"/>
    <mergeCell ref="B2:I2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E44:F44"/>
    <mergeCell ref="E36:F36"/>
    <mergeCell ref="G35:H35"/>
    <mergeCell ref="G36:H36"/>
    <mergeCell ref="G37:H37"/>
    <mergeCell ref="G39:H39"/>
    <mergeCell ref="E35:F35"/>
    <mergeCell ref="E37:F37"/>
    <mergeCell ref="B27:I27"/>
    <mergeCell ref="E30:F30"/>
    <mergeCell ref="E33:F33"/>
    <mergeCell ref="E31:F31"/>
    <mergeCell ref="E34:F34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</mergeCells>
  <hyperlinks>
    <hyperlink ref="C8" r:id="rId1" display="henjones1111@gmail.com" xr:uid="{00000000-0004-0000-0000-000000000000}"/>
    <hyperlink ref="D14" r:id="rId2" xr:uid="{00000000-0004-0000-0000-000001000000}"/>
    <hyperlink ref="H20" r:id="rId3" xr:uid="{00000000-0004-0000-0000-000002000000}"/>
    <hyperlink ref="B28" r:id="rId4" xr:uid="{00000000-0004-0000-0000-000003000000}"/>
  </hyperlinks>
  <pageMargins left="0.15" right="0.15" top="0.35" bottom="0.25" header="0.3" footer="0"/>
  <pageSetup orientation="portrait"/>
  <headerFooter>
    <oddFooter>&amp;L&amp;"Times New Roman,Regular"&amp;8&amp;K000000Udated: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Jones</cp:lastModifiedBy>
  <dcterms:modified xsi:type="dcterms:W3CDTF">2026-06-16T22:01:22Z</dcterms:modified>
</cp:coreProperties>
</file>